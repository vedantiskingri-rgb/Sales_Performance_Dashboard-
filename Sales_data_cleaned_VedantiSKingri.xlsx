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ata Analysis\Machine Test Excel\"/>
    </mc:Choice>
  </mc:AlternateContent>
  <xr:revisionPtr revIDLastSave="0" documentId="13_ncr:1_{A45321D9-E8E5-479F-8BA7-3D68D21948B8}" xr6:coauthVersionLast="47" xr6:coauthVersionMax="47" xr10:uidLastSave="{00000000-0000-0000-0000-000000000000}"/>
  <bookViews>
    <workbookView xWindow="-108" yWindow="-108" windowWidth="23256" windowHeight="13176" activeTab="3" xr2:uid="{00000000-000D-0000-FFFF-FFFF00000000}"/>
  </bookViews>
  <sheets>
    <sheet name="Cleaned_Data" sheetId="1" r:id="rId1"/>
    <sheet name="KPI" sheetId="3" r:id="rId2"/>
    <sheet name="Slicers" sheetId="11" r:id="rId3"/>
    <sheet name="Dashboard" sheetId="12" r:id="rId4"/>
    <sheet name="Map Analysis" sheetId="13" r:id="rId5"/>
    <sheet name="Payment Performance" sheetId="4" r:id="rId6"/>
    <sheet name="Regional Category" sheetId="5" r:id="rId7"/>
    <sheet name="Segment &amp; Priority Matrix" sheetId="6" r:id="rId8"/>
    <sheet name="Monthly Net Revenue Trend" sheetId="7" r:id="rId9"/>
    <sheet name="Sales by Category" sheetId="9" r:id="rId10"/>
    <sheet name="Average Profit by Region" sheetId="8" r:id="rId11"/>
  </sheets>
  <definedNames>
    <definedName name="_xlnm._FilterDatabase" localSheetId="0" hidden="1">Cleaned_Data!$A$1:$Y$101</definedName>
    <definedName name="_xlchart.v5.0" hidden="1">'Map Analysis'!$D$1</definedName>
    <definedName name="_xlchart.v5.1" hidden="1">'Map Analysis'!$D$2:$D$8</definedName>
    <definedName name="_xlchart.v5.2" hidden="1">'Map Analysis'!$E$1</definedName>
    <definedName name="_xlchart.v5.3" hidden="1">'Map Analysis'!$E$2:$E$8</definedName>
    <definedName name="_xlchart.v5.4" hidden="1">'Map Analysis'!$D$1</definedName>
    <definedName name="_xlchart.v5.5" hidden="1">'Map Analysis'!$D$2:$D$8</definedName>
    <definedName name="_xlchart.v5.6" hidden="1">'Map Analysis'!$E$1</definedName>
    <definedName name="_xlchart.v5.7" hidden="1">'Map Analysis'!$E$2:$E$8</definedName>
    <definedName name="Slicer_Payment_Mode">#N/A</definedName>
    <definedName name="Slicer_Region">#N/A</definedName>
    <definedName name="Slicer_Segment">#N/A</definedName>
    <definedName name="Slicer_Stat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3" l="1"/>
  <c r="D10" i="3"/>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G8" i="1"/>
  <c r="AG9" i="1"/>
  <c r="AG17" i="1"/>
  <c r="AG24" i="1"/>
  <c r="AG25" i="1"/>
  <c r="AG32" i="1"/>
  <c r="AG33" i="1"/>
  <c r="AG40" i="1"/>
  <c r="AG41" i="1"/>
  <c r="AG48" i="1"/>
  <c r="AG49" i="1"/>
  <c r="AG64" i="1"/>
  <c r="AG65" i="1"/>
  <c r="AG72" i="1"/>
  <c r="AG73" i="1"/>
  <c r="AG81" i="1"/>
  <c r="AG88" i="1"/>
  <c r="AG89" i="1"/>
  <c r="AG96" i="1"/>
  <c r="AG97" i="1"/>
  <c r="AE56" i="1"/>
  <c r="AF56" i="1" s="1"/>
  <c r="AG56" i="1" s="1"/>
  <c r="AE80" i="1"/>
  <c r="AF80" i="1" s="1"/>
  <c r="AG80" i="1" s="1"/>
  <c r="AD2" i="1"/>
  <c r="AE2" i="1" s="1"/>
  <c r="AD3" i="1"/>
  <c r="AE3" i="1" s="1"/>
  <c r="AD4" i="1"/>
  <c r="AE4" i="1" s="1"/>
  <c r="AD5" i="1"/>
  <c r="AE5" i="1" s="1"/>
  <c r="AD6" i="1"/>
  <c r="AE6" i="1" s="1"/>
  <c r="AD7" i="1"/>
  <c r="AE7" i="1" s="1"/>
  <c r="AD8" i="1"/>
  <c r="AE8" i="1" s="1"/>
  <c r="AF8" i="1" s="1"/>
  <c r="AD9" i="1"/>
  <c r="AE9" i="1" s="1"/>
  <c r="AF9" i="1" s="1"/>
  <c r="AD10" i="1"/>
  <c r="AE10" i="1" s="1"/>
  <c r="AD11" i="1"/>
  <c r="AE11" i="1" s="1"/>
  <c r="AD12" i="1"/>
  <c r="AE12" i="1" s="1"/>
  <c r="AD13" i="1"/>
  <c r="AE13" i="1" s="1"/>
  <c r="AD14" i="1"/>
  <c r="AD15" i="1"/>
  <c r="AE15" i="1" s="1"/>
  <c r="AD16" i="1"/>
  <c r="AE16" i="1" s="1"/>
  <c r="AF16" i="1" s="1"/>
  <c r="AG16" i="1" s="1"/>
  <c r="AD17" i="1"/>
  <c r="AE17" i="1" s="1"/>
  <c r="AF17" i="1" s="1"/>
  <c r="AD18" i="1"/>
  <c r="AE18" i="1" s="1"/>
  <c r="AD19" i="1"/>
  <c r="AE19" i="1" s="1"/>
  <c r="AD20" i="1"/>
  <c r="AE20" i="1" s="1"/>
  <c r="AD21" i="1"/>
  <c r="AE21" i="1" s="1"/>
  <c r="AD22" i="1"/>
  <c r="AE22" i="1" s="1"/>
  <c r="AD23" i="1"/>
  <c r="AE23" i="1" s="1"/>
  <c r="AD24" i="1"/>
  <c r="AE24" i="1" s="1"/>
  <c r="AF24" i="1" s="1"/>
  <c r="AD25" i="1"/>
  <c r="AE25" i="1" s="1"/>
  <c r="AF25" i="1" s="1"/>
  <c r="AD26" i="1"/>
  <c r="AE26" i="1" s="1"/>
  <c r="AD27" i="1"/>
  <c r="AE27" i="1" s="1"/>
  <c r="AD28" i="1"/>
  <c r="AE28" i="1" s="1"/>
  <c r="AD29" i="1"/>
  <c r="AE29" i="1" s="1"/>
  <c r="AD30" i="1"/>
  <c r="AD31" i="1"/>
  <c r="AE31" i="1" s="1"/>
  <c r="AD32" i="1"/>
  <c r="AE32" i="1" s="1"/>
  <c r="AF32" i="1" s="1"/>
  <c r="AD33" i="1"/>
  <c r="AE33" i="1" s="1"/>
  <c r="AF33" i="1" s="1"/>
  <c r="AD34" i="1"/>
  <c r="AE34" i="1" s="1"/>
  <c r="AD35" i="1"/>
  <c r="AE35" i="1" s="1"/>
  <c r="AD36" i="1"/>
  <c r="AE36" i="1" s="1"/>
  <c r="AD37" i="1"/>
  <c r="AE37" i="1" s="1"/>
  <c r="AD38" i="1"/>
  <c r="AD39" i="1"/>
  <c r="AE39" i="1" s="1"/>
  <c r="AD40" i="1"/>
  <c r="AE40" i="1" s="1"/>
  <c r="AF40" i="1" s="1"/>
  <c r="AD41" i="1"/>
  <c r="AE41" i="1" s="1"/>
  <c r="AF41" i="1" s="1"/>
  <c r="AD42" i="1"/>
  <c r="AE42" i="1" s="1"/>
  <c r="AD43" i="1"/>
  <c r="AE43" i="1" s="1"/>
  <c r="AD44" i="1"/>
  <c r="AE44" i="1" s="1"/>
  <c r="AD45" i="1"/>
  <c r="AE45" i="1" s="1"/>
  <c r="AD46" i="1"/>
  <c r="AE46" i="1" s="1"/>
  <c r="AD47" i="1"/>
  <c r="AE47" i="1" s="1"/>
  <c r="AD48" i="1"/>
  <c r="AE48" i="1" s="1"/>
  <c r="AF48" i="1" s="1"/>
  <c r="AD49" i="1"/>
  <c r="AE49" i="1" s="1"/>
  <c r="AF49" i="1" s="1"/>
  <c r="AD50" i="1"/>
  <c r="AE50" i="1" s="1"/>
  <c r="AD51" i="1"/>
  <c r="AE51" i="1" s="1"/>
  <c r="AD52" i="1"/>
  <c r="AE52" i="1" s="1"/>
  <c r="AD53" i="1"/>
  <c r="AE53" i="1" s="1"/>
  <c r="AD54" i="1"/>
  <c r="AD55" i="1"/>
  <c r="AE55" i="1" s="1"/>
  <c r="AD56" i="1"/>
  <c r="AD57" i="1"/>
  <c r="AE57" i="1" s="1"/>
  <c r="AF57" i="1" s="1"/>
  <c r="AG57" i="1" s="1"/>
  <c r="AD58" i="1"/>
  <c r="AE58" i="1" s="1"/>
  <c r="AD59" i="1"/>
  <c r="AE59" i="1" s="1"/>
  <c r="AD60" i="1"/>
  <c r="AE60" i="1" s="1"/>
  <c r="AD61" i="1"/>
  <c r="AE61" i="1" s="1"/>
  <c r="AD62" i="1"/>
  <c r="AE62" i="1" s="1"/>
  <c r="AD63" i="1"/>
  <c r="AE63" i="1" s="1"/>
  <c r="AD64" i="1"/>
  <c r="AE64" i="1" s="1"/>
  <c r="AF64" i="1" s="1"/>
  <c r="AD65" i="1"/>
  <c r="AE65" i="1" s="1"/>
  <c r="AF65" i="1" s="1"/>
  <c r="AD66" i="1"/>
  <c r="AE66" i="1" s="1"/>
  <c r="AD67" i="1"/>
  <c r="AE67" i="1" s="1"/>
  <c r="AD68" i="1"/>
  <c r="AE68" i="1" s="1"/>
  <c r="AD69" i="1"/>
  <c r="AE69" i="1" s="1"/>
  <c r="AD70" i="1"/>
  <c r="AE70" i="1" s="1"/>
  <c r="AD71" i="1"/>
  <c r="AE71" i="1" s="1"/>
  <c r="AD72" i="1"/>
  <c r="AE72" i="1" s="1"/>
  <c r="AF72" i="1" s="1"/>
  <c r="AD73" i="1"/>
  <c r="AE73" i="1" s="1"/>
  <c r="AF73" i="1" s="1"/>
  <c r="AD74" i="1"/>
  <c r="AE74" i="1" s="1"/>
  <c r="AD75" i="1"/>
  <c r="AE75" i="1" s="1"/>
  <c r="AD76" i="1"/>
  <c r="AE76" i="1" s="1"/>
  <c r="AD77" i="1"/>
  <c r="AE77" i="1" s="1"/>
  <c r="AD78" i="1"/>
  <c r="AD79" i="1"/>
  <c r="AE79" i="1" s="1"/>
  <c r="AD80" i="1"/>
  <c r="AD81" i="1"/>
  <c r="AE81" i="1" s="1"/>
  <c r="AF81" i="1" s="1"/>
  <c r="AD82" i="1"/>
  <c r="AE82" i="1" s="1"/>
  <c r="AD83" i="1"/>
  <c r="AE83" i="1" s="1"/>
  <c r="AD84" i="1"/>
  <c r="AE84" i="1" s="1"/>
  <c r="AD85" i="1"/>
  <c r="AE85" i="1" s="1"/>
  <c r="AD86" i="1"/>
  <c r="AE86" i="1" s="1"/>
  <c r="AD87" i="1"/>
  <c r="AE87" i="1" s="1"/>
  <c r="AD88" i="1"/>
  <c r="AE88" i="1" s="1"/>
  <c r="AF88" i="1" s="1"/>
  <c r="AD89" i="1"/>
  <c r="AE89" i="1" s="1"/>
  <c r="AF89" i="1" s="1"/>
  <c r="AD90" i="1"/>
  <c r="AE90" i="1" s="1"/>
  <c r="AD91" i="1"/>
  <c r="AE91" i="1" s="1"/>
  <c r="AD92" i="1"/>
  <c r="AE92" i="1" s="1"/>
  <c r="AD93" i="1"/>
  <c r="AE93" i="1" s="1"/>
  <c r="AD94" i="1"/>
  <c r="AD95" i="1"/>
  <c r="AE95" i="1" s="1"/>
  <c r="AD96" i="1"/>
  <c r="AE96" i="1" s="1"/>
  <c r="AF96" i="1" s="1"/>
  <c r="AD97" i="1"/>
  <c r="AE97" i="1" s="1"/>
  <c r="AF97" i="1" s="1"/>
  <c r="AD98" i="1"/>
  <c r="AE98" i="1" s="1"/>
  <c r="AD99" i="1"/>
  <c r="AE99" i="1" s="1"/>
  <c r="AD100" i="1"/>
  <c r="AE100" i="1" s="1"/>
  <c r="AD101" i="1"/>
  <c r="AE101" i="1" s="1"/>
  <c r="L4" i="3"/>
  <c r="L7" i="3"/>
  <c r="L6" i="3"/>
  <c r="L5" i="3"/>
  <c r="D9" i="3"/>
  <c r="D8" i="3"/>
  <c r="D7" i="3"/>
  <c r="D6" i="3"/>
  <c r="D5" i="3"/>
  <c r="D4" i="3"/>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2" i="1"/>
  <c r="E5" i="3"/>
  <c r="E9" i="3"/>
  <c r="M7" i="3"/>
  <c r="E8" i="3"/>
  <c r="E7" i="3"/>
  <c r="M5" i="3"/>
  <c r="E6" i="3"/>
  <c r="E4" i="3"/>
  <c r="M4" i="3"/>
  <c r="M6" i="3"/>
  <c r="AE14" i="1" l="1"/>
  <c r="AF14" i="1" s="1"/>
  <c r="AG14" i="1" s="1"/>
  <c r="AE38" i="1"/>
  <c r="AF38" i="1" s="1"/>
  <c r="AG38" i="1" s="1"/>
  <c r="AE78" i="1"/>
  <c r="AF78" i="1" s="1"/>
  <c r="AG78" i="1" s="1"/>
  <c r="AE54" i="1"/>
  <c r="AF54" i="1" s="1"/>
  <c r="AG54" i="1" s="1"/>
  <c r="AF95" i="1"/>
  <c r="AG95" i="1" s="1"/>
  <c r="AF87" i="1"/>
  <c r="AG87" i="1" s="1"/>
  <c r="AF79" i="1"/>
  <c r="AG79" i="1" s="1"/>
  <c r="AF71" i="1"/>
  <c r="AG71" i="1" s="1"/>
  <c r="AF63" i="1"/>
  <c r="AG63" i="1" s="1"/>
  <c r="AF55" i="1"/>
  <c r="AG55" i="1" s="1"/>
  <c r="AF47" i="1"/>
  <c r="AG47" i="1" s="1"/>
  <c r="AF39" i="1"/>
  <c r="AG39" i="1" s="1"/>
  <c r="AF31" i="1"/>
  <c r="AG31" i="1" s="1"/>
  <c r="AF23" i="1"/>
  <c r="AG23" i="1" s="1"/>
  <c r="AF15" i="1"/>
  <c r="AG15" i="1" s="1"/>
  <c r="AF7" i="1"/>
  <c r="AG7" i="1" s="1"/>
  <c r="AE94" i="1"/>
  <c r="AF94" i="1" s="1"/>
  <c r="AG94" i="1" s="1"/>
  <c r="AE30" i="1"/>
  <c r="AF30" i="1" s="1"/>
  <c r="AG30" i="1" s="1"/>
  <c r="AF86" i="1"/>
  <c r="AG86" i="1" s="1"/>
  <c r="AF70" i="1"/>
  <c r="AG70" i="1" s="1"/>
  <c r="AF62" i="1"/>
  <c r="AG62" i="1" s="1"/>
  <c r="AF46" i="1"/>
  <c r="AG46" i="1" s="1"/>
  <c r="AF22" i="1"/>
  <c r="AG22" i="1" s="1"/>
  <c r="AF6" i="1"/>
  <c r="AG6" i="1" s="1"/>
  <c r="AF101" i="1"/>
  <c r="AG101" i="1" s="1"/>
  <c r="AF93" i="1"/>
  <c r="AG93" i="1" s="1"/>
  <c r="AF85" i="1"/>
  <c r="AG85" i="1" s="1"/>
  <c r="AF77" i="1"/>
  <c r="AG77" i="1" s="1"/>
  <c r="AF69" i="1"/>
  <c r="AG69" i="1" s="1"/>
  <c r="AF61" i="1"/>
  <c r="AG61" i="1" s="1"/>
  <c r="AF53" i="1"/>
  <c r="AG53" i="1" s="1"/>
  <c r="AF45" i="1"/>
  <c r="AG45" i="1" s="1"/>
  <c r="AF37" i="1"/>
  <c r="AG37" i="1" s="1"/>
  <c r="AF29" i="1"/>
  <c r="AG29" i="1" s="1"/>
  <c r="AF21" i="1"/>
  <c r="AG21" i="1" s="1"/>
  <c r="AF13" i="1"/>
  <c r="AG13" i="1" s="1"/>
  <c r="AF5" i="1"/>
  <c r="AG5" i="1" s="1"/>
  <c r="AF100" i="1"/>
  <c r="AG100" i="1" s="1"/>
  <c r="AF92" i="1"/>
  <c r="AG92" i="1" s="1"/>
  <c r="AF84" i="1"/>
  <c r="AG84" i="1" s="1"/>
  <c r="AF76" i="1"/>
  <c r="AG76" i="1" s="1"/>
  <c r="AF68" i="1"/>
  <c r="AG68" i="1" s="1"/>
  <c r="AF60" i="1"/>
  <c r="AG60" i="1" s="1"/>
  <c r="AF52" i="1"/>
  <c r="AG52" i="1" s="1"/>
  <c r="AF44" i="1"/>
  <c r="AG44" i="1" s="1"/>
  <c r="AF36" i="1"/>
  <c r="AG36" i="1" s="1"/>
  <c r="AF28" i="1"/>
  <c r="AG28" i="1" s="1"/>
  <c r="AF20" i="1"/>
  <c r="AG20" i="1" s="1"/>
  <c r="AF12" i="1"/>
  <c r="AG12" i="1" s="1"/>
  <c r="AF4" i="1"/>
  <c r="AG4" i="1" s="1"/>
  <c r="AF99" i="1"/>
  <c r="AG99" i="1" s="1"/>
  <c r="AF91" i="1"/>
  <c r="AG91" i="1" s="1"/>
  <c r="AF83" i="1"/>
  <c r="AG83" i="1" s="1"/>
  <c r="AF75" i="1"/>
  <c r="AG75" i="1" s="1"/>
  <c r="AF67" i="1"/>
  <c r="AG67" i="1" s="1"/>
  <c r="AF59" i="1"/>
  <c r="AG59" i="1" s="1"/>
  <c r="AF51" i="1"/>
  <c r="AG51" i="1" s="1"/>
  <c r="AF43" i="1"/>
  <c r="AG43" i="1" s="1"/>
  <c r="AF35" i="1"/>
  <c r="AG35" i="1" s="1"/>
  <c r="AF27" i="1"/>
  <c r="AG27" i="1" s="1"/>
  <c r="AF19" i="1"/>
  <c r="AG19" i="1" s="1"/>
  <c r="AF11" i="1"/>
  <c r="AG11" i="1" s="1"/>
  <c r="AF3" i="1"/>
  <c r="AG3" i="1" s="1"/>
  <c r="AF98" i="1"/>
  <c r="AG98" i="1" s="1"/>
  <c r="AF90" i="1"/>
  <c r="AG90" i="1" s="1"/>
  <c r="AF82" i="1"/>
  <c r="AG82" i="1" s="1"/>
  <c r="AF74" i="1"/>
  <c r="AG74" i="1" s="1"/>
  <c r="AF66" i="1"/>
  <c r="AG66" i="1" s="1"/>
  <c r="AF58" i="1"/>
  <c r="AG58" i="1" s="1"/>
  <c r="AF50" i="1"/>
  <c r="AG50" i="1" s="1"/>
  <c r="AF42" i="1"/>
  <c r="AG42" i="1" s="1"/>
  <c r="AF34" i="1"/>
  <c r="AG34" i="1" s="1"/>
  <c r="AF26" i="1"/>
  <c r="AG26" i="1" s="1"/>
  <c r="AF18" i="1"/>
  <c r="AG18" i="1" s="1"/>
  <c r="AF10" i="1"/>
  <c r="AG10" i="1" s="1"/>
  <c r="AF2" i="1"/>
  <c r="AG2"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<sst xmlns="http://schemas.openxmlformats.org/spreadsheetml/2006/main" count="1634" uniqueCount="514">
  <si>
    <t>Row ID</t>
  </si>
  <si>
    <t>Order ID</t>
  </si>
  <si>
    <t>Order Date</t>
  </si>
  <si>
    <t>Ship Date</t>
  </si>
  <si>
    <t>Ship Mode</t>
  </si>
  <si>
    <t>customer ID</t>
  </si>
  <si>
    <t>Customer Name</t>
  </si>
  <si>
    <t>Segment</t>
  </si>
  <si>
    <t>City</t>
  </si>
  <si>
    <t>State</t>
  </si>
  <si>
    <t>Country</t>
  </si>
  <si>
    <t>Postal Code</t>
  </si>
  <si>
    <t>Market</t>
  </si>
  <si>
    <t>Region</t>
  </si>
  <si>
    <t>Product ID</t>
  </si>
  <si>
    <t>Category_Encoded</t>
  </si>
  <si>
    <t>Product Name</t>
  </si>
  <si>
    <t>Unit_Price</t>
  </si>
  <si>
    <t>Quantity</t>
  </si>
  <si>
    <t>Discount_Percentage</t>
  </si>
  <si>
    <t>Profit</t>
  </si>
  <si>
    <t>Shipping Cost</t>
  </si>
  <si>
    <t>Order Priority</t>
  </si>
  <si>
    <t>Year</t>
  </si>
  <si>
    <t>Payment_Mode</t>
  </si>
  <si>
    <t>CA-2025-771155</t>
  </si>
  <si>
    <t>Same Day</t>
  </si>
  <si>
    <t>AB-40370</t>
  </si>
  <si>
    <t>Arjun Jain</t>
  </si>
  <si>
    <t>Consumer</t>
  </si>
  <si>
    <t>Chennai</t>
  </si>
  <si>
    <t>Gujarat</t>
  </si>
  <si>
    <t>India</t>
  </si>
  <si>
    <t>APAC</t>
  </si>
  <si>
    <t>Central</t>
  </si>
  <si>
    <t>TEC-7316</t>
  </si>
  <si>
    <t>TEC::MON</t>
  </si>
  <si>
    <t>Office Chair</t>
  </si>
  <si>
    <t>High</t>
  </si>
  <si>
    <t>Net Banking</t>
  </si>
  <si>
    <t>CA-2023-465838</t>
  </si>
  <si>
    <t>First Class</t>
  </si>
  <si>
    <t>AB-65786</t>
  </si>
  <si>
    <t>Aditya Mehta</t>
  </si>
  <si>
    <t>Corporate</t>
  </si>
  <si>
    <t>Hyderabad</t>
  </si>
  <si>
    <t>Telangana</t>
  </si>
  <si>
    <t>North</t>
  </si>
  <si>
    <t>TEC-7469</t>
  </si>
  <si>
    <t>FUR::CH</t>
  </si>
  <si>
    <t>Desk Organizer</t>
  </si>
  <si>
    <t>BNPL</t>
  </si>
  <si>
    <t>CA-2025-744167</t>
  </si>
  <si>
    <t>Standard Class</t>
  </si>
  <si>
    <t>AB-67814</t>
  </si>
  <si>
    <t>Arjun Mehta</t>
  </si>
  <si>
    <t>Maharashtra</t>
  </si>
  <si>
    <t>TEC-9915</t>
  </si>
  <si>
    <t>TEC::MSW</t>
  </si>
  <si>
    <t>Smart Phone</t>
  </si>
  <si>
    <t>UPI</t>
  </si>
  <si>
    <t>CA-2023-832180</t>
  </si>
  <si>
    <t>Second Class</t>
  </si>
  <si>
    <t>AB-23131</t>
  </si>
  <si>
    <t>Arjun Nair</t>
  </si>
  <si>
    <t>Bengaluru</t>
  </si>
  <si>
    <t>East</t>
  </si>
  <si>
    <t>TEC-1224</t>
  </si>
  <si>
    <t>Wireless Mouse</t>
  </si>
  <si>
    <t>Low</t>
  </si>
  <si>
    <t>Credit Card</t>
  </si>
  <si>
    <t>CA-2025-237337</t>
  </si>
  <si>
    <t>AB-35485</t>
  </si>
  <si>
    <t>Ishaan Gupta</t>
  </si>
  <si>
    <t>West</t>
  </si>
  <si>
    <t>TEC-5208</t>
  </si>
  <si>
    <t>Debit Card</t>
  </si>
  <si>
    <t>CA-2025-621430</t>
  </si>
  <si>
    <t>AB-52359</t>
  </si>
  <si>
    <t>Rohan Mehta</t>
  </si>
  <si>
    <t>Home Office</t>
  </si>
  <si>
    <t>Delhi</t>
  </si>
  <si>
    <t>Tamil Nadu</t>
  </si>
  <si>
    <t>TEC-7283</t>
  </si>
  <si>
    <t>FUR::TBL</t>
  </si>
  <si>
    <t>Critical</t>
  </si>
  <si>
    <t>Cash/Cheque</t>
  </si>
  <si>
    <t>CA-2025-187498</t>
  </si>
  <si>
    <t>AB-52933</t>
  </si>
  <si>
    <t>Aarya Iyer</t>
  </si>
  <si>
    <t>Karnataka</t>
  </si>
  <si>
    <t>South</t>
  </si>
  <si>
    <t>TEC-3048</t>
  </si>
  <si>
    <t>Whiteboard</t>
  </si>
  <si>
    <t>Medium</t>
  </si>
  <si>
    <t>CA-2023-275203</t>
  </si>
  <si>
    <t>AB-62239</t>
  </si>
  <si>
    <t>Aarya Sharma</t>
  </si>
  <si>
    <t>Ahmedabad</t>
  </si>
  <si>
    <t>TEC-7233</t>
  </si>
  <si>
    <t>Gift Cards</t>
  </si>
  <si>
    <t>CA-2025-429365</t>
  </si>
  <si>
    <t>AB-49313</t>
  </si>
  <si>
    <t>Rahul Malhotra</t>
  </si>
  <si>
    <t>Mumbai</t>
  </si>
  <si>
    <t>West Bengal</t>
  </si>
  <si>
    <t>TEC-2828</t>
  </si>
  <si>
    <t xml:space="preserve">TEC::ph </t>
  </si>
  <si>
    <t>CA-2023-887201</t>
  </si>
  <si>
    <t>AB-90234</t>
  </si>
  <si>
    <t>Aarav Sharma</t>
  </si>
  <si>
    <t>Kolkata</t>
  </si>
  <si>
    <t>TEC-2917</t>
  </si>
  <si>
    <t>fur::tbl</t>
  </si>
  <si>
    <t>Laptop Stand</t>
  </si>
  <si>
    <t>CA-2024-876997</t>
  </si>
  <si>
    <t>AB-71644</t>
  </si>
  <si>
    <t>Ayaan Verma</t>
  </si>
  <si>
    <t>TEC-5234</t>
  </si>
  <si>
    <t>OFF:: bin</t>
  </si>
  <si>
    <t>CA-2024-891743</t>
  </si>
  <si>
    <t>AB-76055</t>
  </si>
  <si>
    <t>Ayaan Patel</t>
  </si>
  <si>
    <t>TEC-7988</t>
  </si>
  <si>
    <t>TEC::PHHH</t>
  </si>
  <si>
    <t>CA-2023-314176</t>
  </si>
  <si>
    <t>AB-38031</t>
  </si>
  <si>
    <t>Vivaan Jain</t>
  </si>
  <si>
    <t>TEC-3026</t>
  </si>
  <si>
    <t>OFF:BIN</t>
  </si>
  <si>
    <t>LED Monitor</t>
  </si>
  <si>
    <t>CA-2024-521909</t>
  </si>
  <si>
    <t>AB-33975</t>
  </si>
  <si>
    <t>Aditya Verma</t>
  </si>
  <si>
    <t>TEC-4744</t>
  </si>
  <si>
    <t>OFF::ART</t>
  </si>
  <si>
    <t>CA-2023-358795</t>
  </si>
  <si>
    <t>AB-43606</t>
  </si>
  <si>
    <t>Saanvi Sharma</t>
  </si>
  <si>
    <t>Pune</t>
  </si>
  <si>
    <t>TEC-1009</t>
  </si>
  <si>
    <t>CA-2023-600186</t>
  </si>
  <si>
    <t>AB-92863</t>
  </si>
  <si>
    <t>Saanvi Mehta</t>
  </si>
  <si>
    <t>TEC-1260</t>
  </si>
  <si>
    <t>OFF::CAB</t>
  </si>
  <si>
    <t>File Cabinet</t>
  </si>
  <si>
    <t>CA-2025-970910</t>
  </si>
  <si>
    <t>AB-77656</t>
  </si>
  <si>
    <t>Rohan Patel</t>
  </si>
  <si>
    <t>TEC-7038</t>
  </si>
  <si>
    <t>CA-2024-249503</t>
  </si>
  <si>
    <t>AB-46410</t>
  </si>
  <si>
    <t>Priya Mehta</t>
  </si>
  <si>
    <t>TEC-3219</t>
  </si>
  <si>
    <t>CA-2025-165725</t>
  </si>
  <si>
    <t>AB-32715</t>
  </si>
  <si>
    <t>Aarya Verma</t>
  </si>
  <si>
    <t>TEC-8041</t>
  </si>
  <si>
    <t>CA-2024-184654</t>
  </si>
  <si>
    <t>AB-44635</t>
  </si>
  <si>
    <t>Diya Gupta</t>
  </si>
  <si>
    <t>TEC-3060</t>
  </si>
  <si>
    <t>CA-2024-691723</t>
  </si>
  <si>
    <t>AB-30574</t>
  </si>
  <si>
    <t>Reyansh Jain</t>
  </si>
  <si>
    <t>TEC-6287</t>
  </si>
  <si>
    <t>Mobile Wallets</t>
  </si>
  <si>
    <t>CA-2025-428947</t>
  </si>
  <si>
    <t>AB-71657</t>
  </si>
  <si>
    <t>TEC-2619</t>
  </si>
  <si>
    <t>CA-2023-373538</t>
  </si>
  <si>
    <t>AB-86554</t>
  </si>
  <si>
    <t>Amit Verma</t>
  </si>
  <si>
    <t>TEC-9512</t>
  </si>
  <si>
    <t>CA-2023-628178</t>
  </si>
  <si>
    <t>AB-31747</t>
  </si>
  <si>
    <t>Amit Gupta</t>
  </si>
  <si>
    <t>TEC-2342</t>
  </si>
  <si>
    <t>CA-2025-589492</t>
  </si>
  <si>
    <t>AB-40369</t>
  </si>
  <si>
    <t>Vivaan Malhotra</t>
  </si>
  <si>
    <t>TEC-3832</t>
  </si>
  <si>
    <t>CA-2023-573254</t>
  </si>
  <si>
    <t>AB-23858</t>
  </si>
  <si>
    <t>Sai Sharma</t>
  </si>
  <si>
    <t>TEC-3824</t>
  </si>
  <si>
    <t>CA-2024-765987</t>
  </si>
  <si>
    <t>AB-81741</t>
  </si>
  <si>
    <t>Priya Patel</t>
  </si>
  <si>
    <t>TEC-2994</t>
  </si>
  <si>
    <t>OFF::BIN</t>
  </si>
  <si>
    <t>CA-2023-339931</t>
  </si>
  <si>
    <t>AB-27655</t>
  </si>
  <si>
    <t>TEC-4490</t>
  </si>
  <si>
    <t>CA-2024-305041</t>
  </si>
  <si>
    <t>AB-62543</t>
  </si>
  <si>
    <t>TEC-8984</t>
  </si>
  <si>
    <t>CA-2024-831912</t>
  </si>
  <si>
    <t>AB-48428</t>
  </si>
  <si>
    <t>Vihaan Nair</t>
  </si>
  <si>
    <t>TEC-2604</t>
  </si>
  <si>
    <t>CA-2024-168148</t>
  </si>
  <si>
    <t>AB-62653</t>
  </si>
  <si>
    <t>Rohan Nair</t>
  </si>
  <si>
    <t>TEC-1235</t>
  </si>
  <si>
    <t>TEC::PH</t>
  </si>
  <si>
    <t>CA-2024-748531</t>
  </si>
  <si>
    <t>AB-62751</t>
  </si>
  <si>
    <t>Rohan Malhotra</t>
  </si>
  <si>
    <t>TEC-2908</t>
  </si>
  <si>
    <t>CA-2025-778843</t>
  </si>
  <si>
    <t>AB-78881</t>
  </si>
  <si>
    <t>Arjun Verma</t>
  </si>
  <si>
    <t>TEC-9567</t>
  </si>
  <si>
    <t>CA-2025-672843</t>
  </si>
  <si>
    <t>AB-29102</t>
  </si>
  <si>
    <t>Sai Mehta</t>
  </si>
  <si>
    <t>TEC-4530</t>
  </si>
  <si>
    <t>CA-2023-903591</t>
  </si>
  <si>
    <t>AB-51445</t>
  </si>
  <si>
    <t>Vivaan Gupta</t>
  </si>
  <si>
    <t>TEC-6256</t>
  </si>
  <si>
    <t>CA-2025-206530</t>
  </si>
  <si>
    <t>AB-34519</t>
  </si>
  <si>
    <t>Priya Iyer</t>
  </si>
  <si>
    <t>TEC-3635</t>
  </si>
  <si>
    <t>CA-2024-922352</t>
  </si>
  <si>
    <t>AB-17129</t>
  </si>
  <si>
    <t>Neha Jain</t>
  </si>
  <si>
    <t>TEC-9162</t>
  </si>
  <si>
    <t>CA-2024-824839</t>
  </si>
  <si>
    <t>AB-88874</t>
  </si>
  <si>
    <t>Neha Reddy</t>
  </si>
  <si>
    <t>TEC-3560</t>
  </si>
  <si>
    <t>CA-2024-559773</t>
  </si>
  <si>
    <t>AB-20990</t>
  </si>
  <si>
    <t>Vihaan Reddy</t>
  </si>
  <si>
    <t>TEC-6415</t>
  </si>
  <si>
    <t>CA-2024-864469</t>
  </si>
  <si>
    <t>AB-21038</t>
  </si>
  <si>
    <t>TEC-4391</t>
  </si>
  <si>
    <t>CA-2024-415139</t>
  </si>
  <si>
    <t>AB-31462</t>
  </si>
  <si>
    <t>Aditya Gupta</t>
  </si>
  <si>
    <t>TEC-6951</t>
  </si>
  <si>
    <t>CA-2024-371836</t>
  </si>
  <si>
    <t>AB-33974</t>
  </si>
  <si>
    <t>Amit Nair</t>
  </si>
  <si>
    <t>TEC-6468</t>
  </si>
  <si>
    <t>CA-2025-302283</t>
  </si>
  <si>
    <t>AB-76218</t>
  </si>
  <si>
    <t>Rahul Gupta</t>
  </si>
  <si>
    <t>TEC-9007</t>
  </si>
  <si>
    <t>CA-2024-661353</t>
  </si>
  <si>
    <t>AB-39718</t>
  </si>
  <si>
    <t>TEC-7413</t>
  </si>
  <si>
    <t>CA-2024-723587</t>
  </si>
  <si>
    <t>AB-19352</t>
  </si>
  <si>
    <t>Ishaan Jain</t>
  </si>
  <si>
    <t>TEC-7941</t>
  </si>
  <si>
    <t>CA-2024-635822</t>
  </si>
  <si>
    <t>AB-56442</t>
  </si>
  <si>
    <t>TEC-5820</t>
  </si>
  <si>
    <t>CA-2024-882038</t>
  </si>
  <si>
    <t>AB-71544</t>
  </si>
  <si>
    <t>Arjun Iyer</t>
  </si>
  <si>
    <t>TEC-3898</t>
  </si>
  <si>
    <t>CA-2023-679879</t>
  </si>
  <si>
    <t>AB-94680</t>
  </si>
  <si>
    <t>Saanvi Nair</t>
  </si>
  <si>
    <t>TEC-8546</t>
  </si>
  <si>
    <t>CA-2023-123247</t>
  </si>
  <si>
    <t>AB-41936</t>
  </si>
  <si>
    <t>TEC-1077</t>
  </si>
  <si>
    <t>CA-2023-567281</t>
  </si>
  <si>
    <t>AB-43322</t>
  </si>
  <si>
    <t>TEC-8577</t>
  </si>
  <si>
    <t>CA-2025-633556</t>
  </si>
  <si>
    <t>AB-37370</t>
  </si>
  <si>
    <t>Ananya Iyer</t>
  </si>
  <si>
    <t>TEC-5227</t>
  </si>
  <si>
    <t>CA-2024-819064</t>
  </si>
  <si>
    <t>AB-14850</t>
  </si>
  <si>
    <t>TEC-1600</t>
  </si>
  <si>
    <t>CA-2023-336584</t>
  </si>
  <si>
    <t>AB-30174</t>
  </si>
  <si>
    <t>Priya Reddy</t>
  </si>
  <si>
    <t>TEC-2065</t>
  </si>
  <si>
    <t>CA-2023-937646</t>
  </si>
  <si>
    <t>AB-57620</t>
  </si>
  <si>
    <t>Diya Sharma</t>
  </si>
  <si>
    <t>TEC-3136</t>
  </si>
  <si>
    <t>CA-2023-476896</t>
  </si>
  <si>
    <t>AB-48103</t>
  </si>
  <si>
    <t>Vihaan Sharma</t>
  </si>
  <si>
    <t>TEC-7943</t>
  </si>
  <si>
    <t>CA-2023-402918</t>
  </si>
  <si>
    <t>AB-88767</t>
  </si>
  <si>
    <t>Ayaan Sharma</t>
  </si>
  <si>
    <t>TEC-8804</t>
  </si>
  <si>
    <t>CA-2023-220151</t>
  </si>
  <si>
    <t>AB-65299</t>
  </si>
  <si>
    <t>Aditya Malhotra</t>
  </si>
  <si>
    <t>TEC-7565</t>
  </si>
  <si>
    <t>CA-2023-233767</t>
  </si>
  <si>
    <t>AB-67058</t>
  </si>
  <si>
    <t>TEC-6984</t>
  </si>
  <si>
    <t>CA-2025-236330</t>
  </si>
  <si>
    <t>AB-45562</t>
  </si>
  <si>
    <t>Aarya Nair</t>
  </si>
  <si>
    <t>TEC-6142</t>
  </si>
  <si>
    <t>CA-2025-401648</t>
  </si>
  <si>
    <t>AB-92859</t>
  </si>
  <si>
    <t>Aarya Reddy</t>
  </si>
  <si>
    <t>TEC-5670</t>
  </si>
  <si>
    <t>CA-2025-686146</t>
  </si>
  <si>
    <t>AB-37547</t>
  </si>
  <si>
    <t>Vivaan Nair</t>
  </si>
  <si>
    <t>TEC-3190</t>
  </si>
  <si>
    <t>CA-2023-112666</t>
  </si>
  <si>
    <t>AB-44364</t>
  </si>
  <si>
    <t>TEC-3712</t>
  </si>
  <si>
    <t>CA-2023-234633</t>
  </si>
  <si>
    <t>AB-55460</t>
  </si>
  <si>
    <t>Rahul Patel</t>
  </si>
  <si>
    <t>TEC-3192</t>
  </si>
  <si>
    <t>CA-2025-950937</t>
  </si>
  <si>
    <t>AB-15728</t>
  </si>
  <si>
    <t>Aditya Patel</t>
  </si>
  <si>
    <t>TEC-2248</t>
  </si>
  <si>
    <t>CA-2023-807611</t>
  </si>
  <si>
    <t>AB-66193</t>
  </si>
  <si>
    <t>TEC-5033</t>
  </si>
  <si>
    <t>CA-2025-894824</t>
  </si>
  <si>
    <t>AB-59422</t>
  </si>
  <si>
    <t>Sai Gupta</t>
  </si>
  <si>
    <t>TEC-2997</t>
  </si>
  <si>
    <t>CA-2024-938688</t>
  </si>
  <si>
    <t>AB-80355</t>
  </si>
  <si>
    <t>Rahul Iyer</t>
  </si>
  <si>
    <t>TEC-4687</t>
  </si>
  <si>
    <t>CA-2025-921654</t>
  </si>
  <si>
    <t>AB-61005</t>
  </si>
  <si>
    <t>TEC-5018</t>
  </si>
  <si>
    <t>CA-2024-747972</t>
  </si>
  <si>
    <t>AB-85687</t>
  </si>
  <si>
    <t>Reyansh Iyer</t>
  </si>
  <si>
    <t>TEC-2970</t>
  </si>
  <si>
    <t>CA-2025-556551</t>
  </si>
  <si>
    <t>AB-75560</t>
  </si>
  <si>
    <t>TEC-9389</t>
  </si>
  <si>
    <t>CA-2024-124538</t>
  </si>
  <si>
    <t>AB-94806</t>
  </si>
  <si>
    <t>Saanvi Iyer</t>
  </si>
  <si>
    <t>TEC-6765</t>
  </si>
  <si>
    <t>CA-2025-301664</t>
  </si>
  <si>
    <t>AB-68156</t>
  </si>
  <si>
    <t>TEC-2202</t>
  </si>
  <si>
    <t>CA-2025-999684</t>
  </si>
  <si>
    <t>AB-33808</t>
  </si>
  <si>
    <t>TEC-9135</t>
  </si>
  <si>
    <t>CA-2025-572525</t>
  </si>
  <si>
    <t>AB-66585</t>
  </si>
  <si>
    <t>Aditya Iyer</t>
  </si>
  <si>
    <t>TEC-6567</t>
  </si>
  <si>
    <t>CA-2025-284064</t>
  </si>
  <si>
    <t>AB-47907</t>
  </si>
  <si>
    <t>Ananya Verma</t>
  </si>
  <si>
    <t>TEC-8667</t>
  </si>
  <si>
    <t>CA-2023-723094</t>
  </si>
  <si>
    <t>AB-11030</t>
  </si>
  <si>
    <t>Priya Malhotra</t>
  </si>
  <si>
    <t>TEC-6742</t>
  </si>
  <si>
    <t>CA-2025-997421</t>
  </si>
  <si>
    <t>AB-71828</t>
  </si>
  <si>
    <t>Priya Jain</t>
  </si>
  <si>
    <t>TEC-6788</t>
  </si>
  <si>
    <t>CA-2025-745914</t>
  </si>
  <si>
    <t>AB-37727</t>
  </si>
  <si>
    <t>Vivaan Reddy</t>
  </si>
  <si>
    <t>TEC-6408</t>
  </si>
  <si>
    <t>CA-2023-318126</t>
  </si>
  <si>
    <t>AB-18430</t>
  </si>
  <si>
    <t>TEC-9669</t>
  </si>
  <si>
    <t>CA-2024-222409</t>
  </si>
  <si>
    <t>AB-72307</t>
  </si>
  <si>
    <t>Saanvi Gupta</t>
  </si>
  <si>
    <t>TEC-1922</t>
  </si>
  <si>
    <t>CA-2023-353618</t>
  </si>
  <si>
    <t>AB-33848</t>
  </si>
  <si>
    <t>Ishaan Iyer</t>
  </si>
  <si>
    <t>TEC-1419</t>
  </si>
  <si>
    <t>CA-2025-150015</t>
  </si>
  <si>
    <t>AB-14173</t>
  </si>
  <si>
    <t>TEC-3204</t>
  </si>
  <si>
    <t>CA-2025-222096</t>
  </si>
  <si>
    <t>AB-72695</t>
  </si>
  <si>
    <t>Pooja Nair</t>
  </si>
  <si>
    <t>TEC-2120</t>
  </si>
  <si>
    <t>CA-2023-210687</t>
  </si>
  <si>
    <t>AB-30324</t>
  </si>
  <si>
    <t>TEC-1950</t>
  </si>
  <si>
    <t>CA-2024-835716</t>
  </si>
  <si>
    <t>AB-16985</t>
  </si>
  <si>
    <t>Ananya Jain</t>
  </si>
  <si>
    <t>TEC-3336</t>
  </si>
  <si>
    <t>CA-2025-827270</t>
  </si>
  <si>
    <t>AB-82489</t>
  </si>
  <si>
    <t>TEC-6373</t>
  </si>
  <si>
    <t>CA-2023-298286</t>
  </si>
  <si>
    <t>AB-96719</t>
  </si>
  <si>
    <t>Aarav Mehta</t>
  </si>
  <si>
    <t>TEC-3243</t>
  </si>
  <si>
    <t>CA-2025-874684</t>
  </si>
  <si>
    <t>AB-56555</t>
  </si>
  <si>
    <t>Sai Jain</t>
  </si>
  <si>
    <t>TEC-3645</t>
  </si>
  <si>
    <t>CA-2023-424767</t>
  </si>
  <si>
    <t>AB-30399</t>
  </si>
  <si>
    <t>Neha Malhotra</t>
  </si>
  <si>
    <t>TEC-5612</t>
  </si>
  <si>
    <t>CA-2025-961882</t>
  </si>
  <si>
    <t>AB-28032</t>
  </si>
  <si>
    <t>Diya Reddy</t>
  </si>
  <si>
    <t>TEC-2865</t>
  </si>
  <si>
    <t>CA-2025-479989</t>
  </si>
  <si>
    <t>AB-85895</t>
  </si>
  <si>
    <t>Krishna Patel</t>
  </si>
  <si>
    <t>TEC-7028</t>
  </si>
  <si>
    <t>CA-2024-471369</t>
  </si>
  <si>
    <t>AB-18717</t>
  </si>
  <si>
    <t>TEC-8326</t>
  </si>
  <si>
    <t>CA-2023-542296</t>
  </si>
  <si>
    <t>AB-10399</t>
  </si>
  <si>
    <t>Ayaan Mehta</t>
  </si>
  <si>
    <t>TEC-7371</t>
  </si>
  <si>
    <t>CA-2023-626981</t>
  </si>
  <si>
    <t>AB-10419</t>
  </si>
  <si>
    <t>TEC-7359</t>
  </si>
  <si>
    <t>CA-2024-252906</t>
  </si>
  <si>
    <t>AB-50958</t>
  </si>
  <si>
    <t>Sai Verma</t>
  </si>
  <si>
    <t>TEC-8863</t>
  </si>
  <si>
    <t>CA-2024-175766</t>
  </si>
  <si>
    <t>AB-57941</t>
  </si>
  <si>
    <t>Pooja Malhotra</t>
  </si>
  <si>
    <t>TEC-4228</t>
  </si>
  <si>
    <t>CA-2023-668550</t>
  </si>
  <si>
    <t>AB-39204</t>
  </si>
  <si>
    <t>TEC-4719</t>
  </si>
  <si>
    <t>CA-2024-910208</t>
  </si>
  <si>
    <t>AB-22778</t>
  </si>
  <si>
    <t>Rohan Reddy</t>
  </si>
  <si>
    <t>TEC-3371</t>
  </si>
  <si>
    <t>CA-2023-752664</t>
  </si>
  <si>
    <t>AB-28399</t>
  </si>
  <si>
    <t>TEC-3891</t>
  </si>
  <si>
    <t>CA-2025-554589</t>
  </si>
  <si>
    <t>AB-70115</t>
  </si>
  <si>
    <t>TEC-4756</t>
  </si>
  <si>
    <t>Order Month</t>
  </si>
  <si>
    <t>Order Day</t>
  </si>
  <si>
    <t>Sub_Category</t>
  </si>
  <si>
    <t>Customer Segment</t>
  </si>
  <si>
    <t>Average Unit Price:</t>
  </si>
  <si>
    <t>Total Quantity Sold:</t>
  </si>
  <si>
    <t>Average Profit Margin:</t>
  </si>
  <si>
    <t xml:space="preserve"> Minimum Shipping Cost:</t>
  </si>
  <si>
    <t>Maximum Shipping Cost:</t>
  </si>
  <si>
    <t>KPI  (Key Performance Indicators)</t>
  </si>
  <si>
    <t>Formulas</t>
  </si>
  <si>
    <t>Ans</t>
  </si>
  <si>
    <t>Payment Mode Count (COUNTIF):</t>
  </si>
  <si>
    <t>High-Value Sales Sum (SUMIF):</t>
  </si>
  <si>
    <t>Category Profitability (AVERAGEIF):</t>
  </si>
  <si>
    <t>Region-Specific Shipping (SUMIFS):</t>
  </si>
  <si>
    <r>
      <t>UPI Transaction Count</t>
    </r>
    <r>
      <rPr>
        <sz val="11"/>
        <color theme="1"/>
        <rFont val="Calibri"/>
        <family val="2"/>
        <scheme val="minor"/>
      </rPr>
      <t>.</t>
    </r>
  </si>
  <si>
    <t>Total Quantity</t>
  </si>
  <si>
    <t>Average Profit</t>
  </si>
  <si>
    <t>Phase 4:Conditional Calculations (COUNTIF, SUMIF, AVERAGEIF)</t>
  </si>
  <si>
    <t>Gross Revenue</t>
  </si>
  <si>
    <t>Discount Amount</t>
  </si>
  <si>
    <t>Net Revenue</t>
  </si>
  <si>
    <t>Total Order Cost</t>
  </si>
  <si>
    <t>Order Fulfillment Duration</t>
  </si>
  <si>
    <t>Row Labels</t>
  </si>
  <si>
    <t>Grand Total</t>
  </si>
  <si>
    <t>Sum of Net Revenue</t>
  </si>
  <si>
    <t>Average of Profit</t>
  </si>
  <si>
    <t>Count of Sub_Category</t>
  </si>
  <si>
    <t>Sum of Quantity</t>
  </si>
  <si>
    <t>Count of Order Priority</t>
  </si>
  <si>
    <t>Sum of Order ID</t>
  </si>
  <si>
    <t>Jan</t>
  </si>
  <si>
    <t>Feb</t>
  </si>
  <si>
    <t>Mar</t>
  </si>
  <si>
    <t>Apr</t>
  </si>
  <si>
    <t>et</t>
  </si>
  <si>
    <t>MON</t>
  </si>
  <si>
    <t xml:space="preserve"> bin</t>
  </si>
  <si>
    <t>ART</t>
  </si>
  <si>
    <t>BIN</t>
  </si>
  <si>
    <t>CAB</t>
  </si>
  <si>
    <t>CH</t>
  </si>
  <si>
    <t>MSW</t>
  </si>
  <si>
    <t>PH</t>
  </si>
  <si>
    <t xml:space="preserve">ph </t>
  </si>
  <si>
    <t>PHHH</t>
  </si>
  <si>
    <t>TBL</t>
  </si>
  <si>
    <t>#VALUE!</t>
  </si>
  <si>
    <t>Total Net Revenue:</t>
  </si>
  <si>
    <t>Total Transaction Count/ Total Order:</t>
  </si>
  <si>
    <t>TOTAL SHIPPING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</si>
</sst>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0.0%"/>
    <numFmt numFmtId="166" formatCode="&quot;₹&quot;\ #,##0.0"/>
  </numFmts>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5">
    <fill>
      <patternFill patternType="none"/>
    </fill>
    <fill>
      <patternFill patternType="gray125"/>
    </fill>
    <fill>
      <patternFill patternType="solid">
        <fgColor rgb="FFD9EAF7"/>
      </patternFill>
    </fill>
    <fill>
      <patternFill patternType="solid">
        <fgColor rgb="FFD9EAF7"/>
        <bgColor indexed="64"/>
      </patternFill>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xf>
    <xf numFmtId="164" fontId="0" fillId="0" borderId="0" xfId="0" applyNumberFormat="1"/>
    <xf numFmtId="4" fontId="0" fillId="0" borderId="0" xfId="0" applyNumberFormat="1"/>
    <xf numFmtId="0" fontId="1" fillId="2" borderId="2" xfId="0" applyFont="1" applyFill="1" applyBorder="1" applyAlignment="1">
      <alignment horizontal="center"/>
    </xf>
    <xf numFmtId="0" fontId="1" fillId="2" borderId="1" xfId="0" applyFont="1" applyFill="1" applyBorder="1" applyAlignment="1">
      <alignment horizontal="center" wrapText="1"/>
    </xf>
    <xf numFmtId="0" fontId="2" fillId="0" borderId="0" xfId="0" applyFont="1"/>
    <xf numFmtId="0" fontId="3" fillId="3" borderId="2" xfId="0" applyFont="1" applyFill="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4" borderId="0" xfId="0" applyFill="1"/>
    <xf numFmtId="0" fontId="0" fillId="0" borderId="0" xfId="0" applyNumberFormat="1"/>
  </cellXfs>
  <cellStyles count="1">
    <cellStyle name="Normal" xfId="0" builtinId="0"/>
  </cellStyles>
  <dxfs count="11">
    <dxf>
      <numFmt numFmtId="0" formatCode="General"/>
    </dxf>
    <dxf>
      <numFmt numFmtId="4" formatCode="#,##0.00"/>
    </dxf>
    <dxf>
      <numFmt numFmtId="0" formatCode="General"/>
    </dxf>
    <dxf>
      <numFmt numFmtId="0" formatCode="General"/>
    </dxf>
    <dxf>
      <numFmt numFmtId="0" formatCode="General"/>
    </dxf>
    <dxf>
      <numFmt numFmtId="4" formatCode="#,##0.00"/>
    </dxf>
    <dxf>
      <numFmt numFmtId="4" formatCode="#,##0.00"/>
    </dxf>
    <dxf>
      <numFmt numFmtId="4" formatCode="#,##0.00"/>
    </dxf>
    <dxf>
      <numFmt numFmtId="164" formatCode="dd\-mm\-yyyy"/>
    </dxf>
    <dxf>
      <numFmt numFmtId="164" formatCode="dd\-mm\-yyyy"/>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Slicer Style 1" pivot="0" table="0" count="1" xr9:uid="{A801D023-3111-471C-97F8-98051000FB7E}"/>
  </tableStyles>
  <extLst>
    <ext xmlns:x14="http://schemas.microsoft.com/office/spreadsheetml/2009/9/main" uri="{46F421CA-312F-682f-3DD2-61675219B42D}">
      <x14:dxfs count="1">
        <dxf>
          <font>
            <b/>
            <i val="0"/>
            <sz val="10"/>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[Sales_data_cleaned_VedantiSKingri.xlsx]Payment Performance!PivotTable1</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550396691149722"/>
          <c:y val="6.1847436496805359E-2"/>
          <c:w val="0.61434349556103252"/>
          <c:h val="0.60605219445506964"/>
        </c:manualLayout>
      </c:layout>
      <c:bar3DChart>
        <c:barDir val="col"/>
        <c:grouping val="clustered"/>
        <c:varyColors val="0"/>
        <c:ser>
          <c:idx val="0"/>
          <c:order val="0"/>
          <c:tx>
            <c:strRef>
              <c:f>'Payment Performance'!$B$1</c:f>
              <c:strCache>
                <c:ptCount val="1"/>
                <c:pt idx="0">
                  <c:v>Sum of Net Revenue</c:v>
                </c:pt>
              </c:strCache>
            </c:strRef>
          </c:tx>
          <c:spPr>
            <a:solidFill>
              <a:schemeClr val="accent1"/>
            </a:solidFill>
            <a:ln>
              <a:noFill/>
            </a:ln>
            <a:effectLst/>
            <a:sp3d/>
          </c:spPr>
          <c:invertIfNegative val="0"/>
          <c:cat>
            <c:strRef>
              <c:f>'Payment Performance'!$A$2:$A$10</c:f>
              <c:strCache>
                <c:ptCount val="8"/>
                <c:pt idx="0">
                  <c:v>BNPL</c:v>
                </c:pt>
                <c:pt idx="1">
                  <c:v>Cash/Cheque</c:v>
                </c:pt>
                <c:pt idx="2">
                  <c:v>Credit Card</c:v>
                </c:pt>
                <c:pt idx="3">
                  <c:v>Debit Card</c:v>
                </c:pt>
                <c:pt idx="4">
                  <c:v>Gift Cards</c:v>
                </c:pt>
                <c:pt idx="5">
                  <c:v>Mobile Wallets</c:v>
                </c:pt>
                <c:pt idx="6">
                  <c:v>Net Banking</c:v>
                </c:pt>
                <c:pt idx="7">
                  <c:v>UPI</c:v>
                </c:pt>
              </c:strCache>
            </c:strRef>
          </c:cat>
          <c:val>
            <c:numRef>
              <c:f>'Payment Performance'!$B$2:$B$10</c:f>
              <c:numCache>
                <c:formatCode>General</c:formatCode>
                <c:ptCount val="8"/>
                <c:pt idx="0">
                  <c:v>384776.761</c:v>
                </c:pt>
                <c:pt idx="1">
                  <c:v>1208158.7990000001</c:v>
                </c:pt>
                <c:pt idx="2">
                  <c:v>718440.62099999993</c:v>
                </c:pt>
                <c:pt idx="3">
                  <c:v>238732.30550000002</c:v>
                </c:pt>
                <c:pt idx="4">
                  <c:v>893121.03600000008</c:v>
                </c:pt>
                <c:pt idx="5">
                  <c:v>861264.1129999999</c:v>
                </c:pt>
                <c:pt idx="6">
                  <c:v>1375630.2544999998</c:v>
                </c:pt>
                <c:pt idx="7">
                  <c:v>497737.94500000001</c:v>
                </c:pt>
              </c:numCache>
            </c:numRef>
          </c:val>
          <c:extLst>
            <c:ext xmlns:c16="http://schemas.microsoft.com/office/drawing/2014/chart" uri="{C3380CC4-5D6E-409C-BE32-E72D297353CC}">
              <c16:uniqueId val="{00000000-BDFE-4C89-A1A0-D897D5B485E3}"/>
            </c:ext>
          </c:extLst>
        </c:ser>
        <c:ser>
          <c:idx val="1"/>
          <c:order val="1"/>
          <c:tx>
            <c:strRef>
              <c:f>'Payment Performance'!$C$1</c:f>
              <c:strCache>
                <c:ptCount val="1"/>
                <c:pt idx="0">
                  <c:v>Average of Profit</c:v>
                </c:pt>
              </c:strCache>
            </c:strRef>
          </c:tx>
          <c:spPr>
            <a:solidFill>
              <a:schemeClr val="accent2"/>
            </a:solidFill>
            <a:ln>
              <a:noFill/>
            </a:ln>
            <a:effectLst/>
            <a:sp3d/>
          </c:spPr>
          <c:invertIfNegative val="0"/>
          <c:cat>
            <c:strRef>
              <c:f>'Payment Performance'!$A$2:$A$10</c:f>
              <c:strCache>
                <c:ptCount val="8"/>
                <c:pt idx="0">
                  <c:v>BNPL</c:v>
                </c:pt>
                <c:pt idx="1">
                  <c:v>Cash/Cheque</c:v>
                </c:pt>
                <c:pt idx="2">
                  <c:v>Credit Card</c:v>
                </c:pt>
                <c:pt idx="3">
                  <c:v>Debit Card</c:v>
                </c:pt>
                <c:pt idx="4">
                  <c:v>Gift Cards</c:v>
                </c:pt>
                <c:pt idx="5">
                  <c:v>Mobile Wallets</c:v>
                </c:pt>
                <c:pt idx="6">
                  <c:v>Net Banking</c:v>
                </c:pt>
                <c:pt idx="7">
                  <c:v>UPI</c:v>
                </c:pt>
              </c:strCache>
            </c:strRef>
          </c:cat>
          <c:val>
            <c:numRef>
              <c:f>'Payment Performance'!$C$2:$C$10</c:f>
              <c:numCache>
                <c:formatCode>#,##0.00</c:formatCode>
                <c:ptCount val="8"/>
                <c:pt idx="0">
                  <c:v>15.889999999999999</c:v>
                </c:pt>
                <c:pt idx="1">
                  <c:v>15.180000000000001</c:v>
                </c:pt>
                <c:pt idx="2">
                  <c:v>13.671250000000001</c:v>
                </c:pt>
                <c:pt idx="3">
                  <c:v>16.167857142857144</c:v>
                </c:pt>
                <c:pt idx="4">
                  <c:v>16.130833333333332</c:v>
                </c:pt>
                <c:pt idx="5">
                  <c:v>17.24923076923077</c:v>
                </c:pt>
                <c:pt idx="6">
                  <c:v>22.05294117647059</c:v>
                </c:pt>
                <c:pt idx="7">
                  <c:v>17.669999999999998</c:v>
                </c:pt>
              </c:numCache>
            </c:numRef>
          </c:val>
          <c:extLst>
            <c:ext xmlns:c16="http://schemas.microsoft.com/office/drawing/2014/chart" uri="{C3380CC4-5D6E-409C-BE32-E72D297353CC}">
              <c16:uniqueId val="{00000001-BDFE-4C89-A1A0-D897D5B485E3}"/>
            </c:ext>
          </c:extLst>
        </c:ser>
        <c:dLbls>
          <c:showLegendKey val="0"/>
          <c:showVal val="0"/>
          <c:showCatName val="0"/>
          <c:showSerName val="0"/>
          <c:showPercent val="0"/>
          <c:showBubbleSize val="0"/>
        </c:dLbls>
        <c:gapWidth val="150"/>
        <c:shape val="box"/>
        <c:axId val="1715301584"/>
        <c:axId val="1475975824"/>
        <c:axId val="0"/>
      </c:bar3DChart>
      <c:catAx>
        <c:axId val="171530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75824"/>
        <c:crosses val="autoZero"/>
        <c:auto val="1"/>
        <c:lblAlgn val="ctr"/>
        <c:lblOffset val="100"/>
        <c:noMultiLvlLbl val="0"/>
      </c:catAx>
      <c:valAx>
        <c:axId val="1475975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01584"/>
        <c:crosses val="autoZero"/>
        <c:crossBetween val="between"/>
      </c:valAx>
      <c:spPr>
        <a:noFill/>
        <a:ln>
          <a:noFill/>
        </a:ln>
        <a:effectLst/>
      </c:spPr>
    </c:plotArea>
    <c:legend>
      <c:legendPos val="r"/>
      <c:layout>
        <c:manualLayout>
          <c:xMode val="edge"/>
          <c:yMode val="edge"/>
          <c:x val="0.78162523948818075"/>
          <c:y val="0.27993601867199336"/>
          <c:w val="0.1997080944984044"/>
          <c:h val="0.490729967982773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[Sales_data_cleaned_VedantiSKingri.xlsx]Monthly Net Revenue Trend!PivotTable4</c:name>
    <c:fmtId val="7"/>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89302517625391"/>
          <c:y val="6.4166691929143801E-2"/>
          <c:w val="0.6129583565960095"/>
          <c:h val="0.80051002644751701"/>
        </c:manualLayout>
      </c:layout>
      <c:lineChart>
        <c:grouping val="standard"/>
        <c:varyColors val="0"/>
        <c:ser>
          <c:idx val="0"/>
          <c:order val="0"/>
          <c:tx>
            <c:strRef>
              <c:f>'Monthly Net Revenue Trend'!$B$1</c:f>
              <c:strCache>
                <c:ptCount val="1"/>
                <c:pt idx="0">
                  <c:v>Sum of Net Revenue</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'Monthly Net Revenue Trend'!$A$2:$A$6</c:f>
              <c:strCache>
                <c:ptCount val="4"/>
                <c:pt idx="0">
                  <c:v>Jan</c:v>
                </c:pt>
                <c:pt idx="1">
                  <c:v>Feb</c:v>
                </c:pt>
                <c:pt idx="2">
                  <c:v>Mar</c:v>
                </c:pt>
                <c:pt idx="3">
                  <c:v>Apr</c:v>
                </c:pt>
              </c:strCache>
            </c:strRef>
          </c:cat>
          <c:val>
            <c:numRef>
              <c:f>'Monthly Net Revenue Trend'!$B$2:$B$6</c:f>
              <c:numCache>
                <c:formatCode>General</c:formatCode>
                <c:ptCount val="4"/>
                <c:pt idx="0">
                  <c:v>1737952.584</c:v>
                </c:pt>
                <c:pt idx="1">
                  <c:v>2094609.9324999996</c:v>
                </c:pt>
                <c:pt idx="2">
                  <c:v>1738590.4300000002</c:v>
                </c:pt>
                <c:pt idx="3">
                  <c:v>606708.88849999988</c:v>
                </c:pt>
              </c:numCache>
            </c:numRef>
          </c:val>
          <c:smooth val="0"/>
          <c:extLst>
            <c:ext xmlns:c16="http://schemas.microsoft.com/office/drawing/2014/chart" uri="{C3380CC4-5D6E-409C-BE32-E72D297353CC}">
              <c16:uniqueId val="{00000000-15DB-4753-87E7-FAF3A5C09BC3}"/>
            </c:ext>
          </c:extLst>
        </c:ser>
        <c:ser>
          <c:idx val="1"/>
          <c:order val="1"/>
          <c:tx>
            <c:strRef>
              <c:f>'Monthly Net Revenue Trend'!$C$1</c:f>
              <c:strCache>
                <c:ptCount val="1"/>
                <c:pt idx="0">
                  <c:v>Sum of Quantity</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'Monthly Net Revenue Trend'!$A$2:$A$6</c:f>
              <c:strCache>
                <c:ptCount val="4"/>
                <c:pt idx="0">
                  <c:v>Jan</c:v>
                </c:pt>
                <c:pt idx="1">
                  <c:v>Feb</c:v>
                </c:pt>
                <c:pt idx="2">
                  <c:v>Mar</c:v>
                </c:pt>
                <c:pt idx="3">
                  <c:v>Apr</c:v>
                </c:pt>
              </c:strCache>
            </c:strRef>
          </c:cat>
          <c:val>
            <c:numRef>
              <c:f>'Monthly Net Revenue Trend'!$C$2:$C$6</c:f>
              <c:numCache>
                <c:formatCode>General</c:formatCode>
                <c:ptCount val="4"/>
                <c:pt idx="0">
                  <c:v>188</c:v>
                </c:pt>
                <c:pt idx="1">
                  <c:v>200</c:v>
                </c:pt>
                <c:pt idx="2">
                  <c:v>186</c:v>
                </c:pt>
                <c:pt idx="3">
                  <c:v>44</c:v>
                </c:pt>
              </c:numCache>
            </c:numRef>
          </c:val>
          <c:smooth val="0"/>
          <c:extLst>
            <c:ext xmlns:c16="http://schemas.microsoft.com/office/drawing/2014/chart" uri="{C3380CC4-5D6E-409C-BE32-E72D297353CC}">
              <c16:uniqueId val="{00000001-15DB-4753-87E7-FAF3A5C09BC3}"/>
            </c:ext>
          </c:extLst>
        </c:ser>
        <c:dLbls>
          <c:showLegendKey val="0"/>
          <c:showVal val="0"/>
          <c:showCatName val="0"/>
          <c:showSerName val="0"/>
          <c:showPercent val="0"/>
          <c:showBubbleSize val="0"/>
        </c:dLbls>
        <c:marker val="1"/>
        <c:smooth val="0"/>
        <c:axId val="1715299264"/>
        <c:axId val="1460981168"/>
      </c:lineChart>
      <c:catAx>
        <c:axId val="171529926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60981168"/>
        <c:crosses val="autoZero"/>
        <c:auto val="1"/>
        <c:lblAlgn val="ctr"/>
        <c:lblOffset val="100"/>
        <c:noMultiLvlLbl val="0"/>
      </c:catAx>
      <c:valAx>
        <c:axId val="1460981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5299264"/>
        <c:crosses val="autoZero"/>
        <c:crossBetween val="between"/>
      </c:valAx>
      <c:spPr>
        <a:noFill/>
        <a:ln>
          <a:noFill/>
        </a:ln>
        <a:effectLst/>
      </c:spPr>
    </c:plotArea>
    <c:legend>
      <c:legendPos val="r"/>
      <c:layout>
        <c:manualLayout>
          <c:xMode val="edge"/>
          <c:yMode val="edge"/>
          <c:x val="0.78692624906754838"/>
          <c:y val="0.2075170108334688"/>
          <c:w val="0.19435717273559494"/>
          <c:h val="0.54413216960584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[Sales_data_cleaned_VedantiSKingri.xlsx]Sales by Category!PivotTable5</c:name>
    <c:fmtId val="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'Sales by Category'!$B$1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280-4722-BE7D-E6E1A85FB87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280-4722-BE7D-E6E1A85FB87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280-4722-BE7D-E6E1A85FB87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280-4722-BE7D-E6E1A85FB87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280-4722-BE7D-E6E1A85FB874}"/>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1280-4722-BE7D-E6E1A85FB874}"/>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1280-4722-BE7D-E6E1A85FB874}"/>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1280-4722-BE7D-E6E1A85FB874}"/>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1280-4722-BE7D-E6E1A85FB874}"/>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1280-4722-BE7D-E6E1A85FB874}"/>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1280-4722-BE7D-E6E1A85FB874}"/>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1280-4722-BE7D-E6E1A85FB8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 by Category'!$A$2:$A$14</c:f>
              <c:strCache>
                <c:ptCount val="12"/>
                <c:pt idx="0">
                  <c:v>MON</c:v>
                </c:pt>
                <c:pt idx="1">
                  <c:v> bin</c:v>
                </c:pt>
                <c:pt idx="2">
                  <c:v>ART</c:v>
                </c:pt>
                <c:pt idx="3">
                  <c:v>BIN</c:v>
                </c:pt>
                <c:pt idx="4">
                  <c:v>CAB</c:v>
                </c:pt>
                <c:pt idx="5">
                  <c:v>CH</c:v>
                </c:pt>
                <c:pt idx="6">
                  <c:v>MSW</c:v>
                </c:pt>
                <c:pt idx="7">
                  <c:v>PH</c:v>
                </c:pt>
                <c:pt idx="8">
                  <c:v>ph </c:v>
                </c:pt>
                <c:pt idx="9">
                  <c:v>PHHH</c:v>
                </c:pt>
                <c:pt idx="10">
                  <c:v>TBL</c:v>
                </c:pt>
                <c:pt idx="11">
                  <c:v>#VALUE!</c:v>
                </c:pt>
              </c:strCache>
            </c:strRef>
          </c:cat>
          <c:val>
            <c:numRef>
              <c:f>'Sales by Category'!$B$2:$B$14</c:f>
              <c:numCache>
                <c:formatCode>General</c:formatCode>
                <c:ptCount val="12"/>
                <c:pt idx="0">
                  <c:v>486875.02550000005</c:v>
                </c:pt>
                <c:pt idx="1">
                  <c:v>938.28949999999986</c:v>
                </c:pt>
                <c:pt idx="2">
                  <c:v>888742.4105</c:v>
                </c:pt>
                <c:pt idx="3">
                  <c:v>947943.745</c:v>
                </c:pt>
                <c:pt idx="4">
                  <c:v>1261347.8265</c:v>
                </c:pt>
                <c:pt idx="5">
                  <c:v>168533.45300000001</c:v>
                </c:pt>
                <c:pt idx="6">
                  <c:v>551711.86300000001</c:v>
                </c:pt>
                <c:pt idx="7">
                  <c:v>986428.01900000009</c:v>
                </c:pt>
                <c:pt idx="8">
                  <c:v>5425.866</c:v>
                </c:pt>
                <c:pt idx="9">
                  <c:v>34150.840000000004</c:v>
                </c:pt>
                <c:pt idx="10">
                  <c:v>715338.36450000003</c:v>
                </c:pt>
                <c:pt idx="11">
                  <c:v>130426.13250000001</c:v>
                </c:pt>
              </c:numCache>
            </c:numRef>
          </c:val>
          <c:extLst>
            <c:ext xmlns:c16="http://schemas.microsoft.com/office/drawing/2014/chart" uri="{C3380CC4-5D6E-409C-BE32-E72D297353CC}">
              <c16:uniqueId val="{00000018-1280-4722-BE7D-E6E1A85FB87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[Sales_data_cleaned_VedantiSKingri.xlsx]Average Profit by Region!PivotTable6</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'Average Profit by Region'!$B$1</c:f>
              <c:strCache>
                <c:ptCount val="1"/>
                <c:pt idx="0">
                  <c:v>Total</c:v>
                </c:pt>
              </c:strCache>
            </c:strRef>
          </c:tx>
          <c:spPr>
            <a:solidFill>
              <a:schemeClr val="accent1"/>
            </a:solidFill>
            <a:ln>
              <a:noFill/>
            </a:ln>
            <a:effectLst/>
            <a:sp3d/>
          </c:spPr>
          <c:invertIfNegative val="0"/>
          <c:cat>
            <c:strRef>
              <c:f>'Average Profit by Region'!$A$2:$A$7</c:f>
              <c:strCache>
                <c:ptCount val="5"/>
                <c:pt idx="0">
                  <c:v>Central</c:v>
                </c:pt>
                <c:pt idx="1">
                  <c:v>East</c:v>
                </c:pt>
                <c:pt idx="2">
                  <c:v>North</c:v>
                </c:pt>
                <c:pt idx="3">
                  <c:v>South</c:v>
                </c:pt>
                <c:pt idx="4">
                  <c:v>West</c:v>
                </c:pt>
              </c:strCache>
            </c:strRef>
          </c:cat>
          <c:val>
            <c:numRef>
              <c:f>'Average Profit by Region'!$B$2:$B$7</c:f>
              <c:numCache>
                <c:formatCode>#,##0.00</c:formatCode>
                <c:ptCount val="5"/>
                <c:pt idx="0">
                  <c:v>17.821363636363635</c:v>
                </c:pt>
                <c:pt idx="1">
                  <c:v>8.0326666666666675</c:v>
                </c:pt>
                <c:pt idx="2">
                  <c:v>16.387500000000003</c:v>
                </c:pt>
                <c:pt idx="3">
                  <c:v>21.234210526315792</c:v>
                </c:pt>
                <c:pt idx="4">
                  <c:v>18.557916666666671</c:v>
                </c:pt>
              </c:numCache>
            </c:numRef>
          </c:val>
          <c:extLst>
            <c:ext xmlns:c16="http://schemas.microsoft.com/office/drawing/2014/chart" uri="{C3380CC4-5D6E-409C-BE32-E72D297353CC}">
              <c16:uniqueId val="{00000000-95B6-46BF-8098-321427E363AC}"/>
            </c:ext>
          </c:extLst>
        </c:ser>
        <c:dLbls>
          <c:showLegendKey val="0"/>
          <c:showVal val="0"/>
          <c:showCatName val="0"/>
          <c:showSerName val="0"/>
          <c:showPercent val="0"/>
          <c:showBubbleSize val="0"/>
        </c:dLbls>
        <c:gapWidth val="150"/>
        <c:shape val="box"/>
        <c:axId val="1715289984"/>
        <c:axId val="1606276464"/>
        <c:axId val="0"/>
      </c:bar3DChart>
      <c:catAx>
        <c:axId val="1715289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276464"/>
        <c:crosses val="autoZero"/>
        <c:auto val="1"/>
        <c:lblAlgn val="ctr"/>
        <c:lblOffset val="100"/>
        <c:noMultiLvlLbl val="0"/>
      </c:catAx>
      <c:valAx>
        <c:axId val="160627646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28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[Sales_data_cleaned_VedantiSKingri.xlsx]Payment Performance!PivotTable1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'Payment Performance'!$B$1</c:f>
              <c:strCache>
                <c:ptCount val="1"/>
                <c:pt idx="0">
                  <c:v>Sum of Net Revenue</c:v>
                </c:pt>
              </c:strCache>
            </c:strRef>
          </c:tx>
          <c:spPr>
            <a:solidFill>
              <a:schemeClr val="accent1"/>
            </a:solidFill>
            <a:ln>
              <a:noFill/>
            </a:ln>
            <a:effectLst/>
            <a:sp3d/>
          </c:spPr>
          <c:invertIfNegative val="0"/>
          <c:cat>
            <c:strRef>
              <c:f>'Payment Performance'!$A$2:$A$10</c:f>
              <c:strCache>
                <c:ptCount val="8"/>
                <c:pt idx="0">
                  <c:v>BNPL</c:v>
                </c:pt>
                <c:pt idx="1">
                  <c:v>Cash/Cheque</c:v>
                </c:pt>
                <c:pt idx="2">
                  <c:v>Credit Card</c:v>
                </c:pt>
                <c:pt idx="3">
                  <c:v>Debit Card</c:v>
                </c:pt>
                <c:pt idx="4">
                  <c:v>Gift Cards</c:v>
                </c:pt>
                <c:pt idx="5">
                  <c:v>Mobile Wallets</c:v>
                </c:pt>
                <c:pt idx="6">
                  <c:v>Net Banking</c:v>
                </c:pt>
                <c:pt idx="7">
                  <c:v>UPI</c:v>
                </c:pt>
              </c:strCache>
            </c:strRef>
          </c:cat>
          <c:val>
            <c:numRef>
              <c:f>'Payment Performance'!$B$2:$B$10</c:f>
              <c:numCache>
                <c:formatCode>General</c:formatCode>
                <c:ptCount val="8"/>
                <c:pt idx="0">
                  <c:v>384776.761</c:v>
                </c:pt>
                <c:pt idx="1">
                  <c:v>1208158.7990000001</c:v>
                </c:pt>
                <c:pt idx="2">
                  <c:v>718440.62099999993</c:v>
                </c:pt>
                <c:pt idx="3">
                  <c:v>238732.30550000002</c:v>
                </c:pt>
                <c:pt idx="4">
                  <c:v>893121.03600000008</c:v>
                </c:pt>
                <c:pt idx="5">
                  <c:v>861264.1129999999</c:v>
                </c:pt>
                <c:pt idx="6">
                  <c:v>1375630.2544999998</c:v>
                </c:pt>
                <c:pt idx="7">
                  <c:v>497737.94500000001</c:v>
                </c:pt>
              </c:numCache>
            </c:numRef>
          </c:val>
          <c:extLst>
            <c:ext xmlns:c16="http://schemas.microsoft.com/office/drawing/2014/chart" uri="{C3380CC4-5D6E-409C-BE32-E72D297353CC}">
              <c16:uniqueId val="{00000000-9386-4F7C-9A2C-9E6361206CE0}"/>
            </c:ext>
          </c:extLst>
        </c:ser>
        <c:ser>
          <c:idx val="1"/>
          <c:order val="1"/>
          <c:tx>
            <c:strRef>
              <c:f>'Payment Performance'!$C$1</c:f>
              <c:strCache>
                <c:ptCount val="1"/>
                <c:pt idx="0">
                  <c:v>Average of Profit</c:v>
                </c:pt>
              </c:strCache>
            </c:strRef>
          </c:tx>
          <c:spPr>
            <a:solidFill>
              <a:schemeClr val="accent2"/>
            </a:solidFill>
            <a:ln>
              <a:noFill/>
            </a:ln>
            <a:effectLst/>
            <a:sp3d/>
          </c:spPr>
          <c:invertIfNegative val="0"/>
          <c:cat>
            <c:strRef>
              <c:f>'Payment Performance'!$A$2:$A$10</c:f>
              <c:strCache>
                <c:ptCount val="8"/>
                <c:pt idx="0">
                  <c:v>BNPL</c:v>
                </c:pt>
                <c:pt idx="1">
                  <c:v>Cash/Cheque</c:v>
                </c:pt>
                <c:pt idx="2">
                  <c:v>Credit Card</c:v>
                </c:pt>
                <c:pt idx="3">
                  <c:v>Debit Card</c:v>
                </c:pt>
                <c:pt idx="4">
                  <c:v>Gift Cards</c:v>
                </c:pt>
                <c:pt idx="5">
                  <c:v>Mobile Wallets</c:v>
                </c:pt>
                <c:pt idx="6">
                  <c:v>Net Banking</c:v>
                </c:pt>
                <c:pt idx="7">
                  <c:v>UPI</c:v>
                </c:pt>
              </c:strCache>
            </c:strRef>
          </c:cat>
          <c:val>
            <c:numRef>
              <c:f>'Payment Performance'!$C$2:$C$10</c:f>
              <c:numCache>
                <c:formatCode>#,##0.00</c:formatCode>
                <c:ptCount val="8"/>
                <c:pt idx="0">
                  <c:v>15.889999999999999</c:v>
                </c:pt>
                <c:pt idx="1">
                  <c:v>15.180000000000001</c:v>
                </c:pt>
                <c:pt idx="2">
                  <c:v>13.671250000000001</c:v>
                </c:pt>
                <c:pt idx="3">
                  <c:v>16.167857142857144</c:v>
                </c:pt>
                <c:pt idx="4">
                  <c:v>16.130833333333332</c:v>
                </c:pt>
                <c:pt idx="5">
                  <c:v>17.24923076923077</c:v>
                </c:pt>
                <c:pt idx="6">
                  <c:v>22.05294117647059</c:v>
                </c:pt>
                <c:pt idx="7">
                  <c:v>17.669999999999998</c:v>
                </c:pt>
              </c:numCache>
            </c:numRef>
          </c:val>
          <c:extLst>
            <c:ext xmlns:c16="http://schemas.microsoft.com/office/drawing/2014/chart" uri="{C3380CC4-5D6E-409C-BE32-E72D297353CC}">
              <c16:uniqueId val="{00000001-9386-4F7C-9A2C-9E6361206CE0}"/>
            </c:ext>
          </c:extLst>
        </c:ser>
        <c:dLbls>
          <c:showLegendKey val="0"/>
          <c:showVal val="0"/>
          <c:showCatName val="0"/>
          <c:showSerName val="0"/>
          <c:showPercent val="0"/>
          <c:showBubbleSize val="0"/>
        </c:dLbls>
        <c:gapWidth val="150"/>
        <c:shape val="box"/>
        <c:axId val="1715301584"/>
        <c:axId val="1475975824"/>
        <c:axId val="0"/>
      </c:bar3DChart>
      <c:catAx>
        <c:axId val="171530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75824"/>
        <c:crosses val="autoZero"/>
        <c:auto val="1"/>
        <c:lblAlgn val="ctr"/>
        <c:lblOffset val="100"/>
        <c:noMultiLvlLbl val="0"/>
      </c:catAx>
      <c:valAx>
        <c:axId val="1475975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30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[Sales_data_cleaned_VedantiSKingri.xlsx]Monthly Net Revenue Trend!PivotTable4</c:name>
    <c:fmtId val="0"/>
  </c:pivotSource>
  <c:chart>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Net Revenue Trend'!$B$1</c:f>
              <c:strCache>
                <c:ptCount val="1"/>
                <c:pt idx="0">
                  <c:v>Sum of Net Revenue</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'Monthly Net Revenue Trend'!$A$2:$A$6</c:f>
              <c:strCache>
                <c:ptCount val="4"/>
                <c:pt idx="0">
                  <c:v>Jan</c:v>
                </c:pt>
                <c:pt idx="1">
                  <c:v>Feb</c:v>
                </c:pt>
                <c:pt idx="2">
                  <c:v>Mar</c:v>
                </c:pt>
                <c:pt idx="3">
                  <c:v>Apr</c:v>
                </c:pt>
              </c:strCache>
            </c:strRef>
          </c:cat>
          <c:val>
            <c:numRef>
              <c:f>'Monthly Net Revenue Trend'!$B$2:$B$6</c:f>
              <c:numCache>
                <c:formatCode>General</c:formatCode>
                <c:ptCount val="4"/>
                <c:pt idx="0">
                  <c:v>1737952.584</c:v>
                </c:pt>
                <c:pt idx="1">
                  <c:v>2094609.9324999996</c:v>
                </c:pt>
                <c:pt idx="2">
                  <c:v>1738590.4300000002</c:v>
                </c:pt>
                <c:pt idx="3">
                  <c:v>606708.88849999988</c:v>
                </c:pt>
              </c:numCache>
            </c:numRef>
          </c:val>
          <c:smooth val="0"/>
          <c:extLst>
            <c:ext xmlns:c16="http://schemas.microsoft.com/office/drawing/2014/chart" uri="{C3380CC4-5D6E-409C-BE32-E72D297353CC}">
              <c16:uniqueId val="{00000000-EE2D-4103-A236-EEDCB148B01E}"/>
            </c:ext>
          </c:extLst>
        </c:ser>
        <c:ser>
          <c:idx val="1"/>
          <c:order val="1"/>
          <c:tx>
            <c:strRef>
              <c:f>'Monthly Net Revenue Trend'!$C$1</c:f>
              <c:strCache>
                <c:ptCount val="1"/>
                <c:pt idx="0">
                  <c:v>Sum of Quantity</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'Monthly Net Revenue Trend'!$A$2:$A$6</c:f>
              <c:strCache>
                <c:ptCount val="4"/>
                <c:pt idx="0">
                  <c:v>Jan</c:v>
                </c:pt>
                <c:pt idx="1">
                  <c:v>Feb</c:v>
                </c:pt>
                <c:pt idx="2">
                  <c:v>Mar</c:v>
                </c:pt>
                <c:pt idx="3">
                  <c:v>Apr</c:v>
                </c:pt>
              </c:strCache>
            </c:strRef>
          </c:cat>
          <c:val>
            <c:numRef>
              <c:f>'Monthly Net Revenue Trend'!$C$2:$C$6</c:f>
              <c:numCache>
                <c:formatCode>General</c:formatCode>
                <c:ptCount val="4"/>
                <c:pt idx="0">
                  <c:v>188</c:v>
                </c:pt>
                <c:pt idx="1">
                  <c:v>200</c:v>
                </c:pt>
                <c:pt idx="2">
                  <c:v>186</c:v>
                </c:pt>
                <c:pt idx="3">
                  <c:v>44</c:v>
                </c:pt>
              </c:numCache>
            </c:numRef>
          </c:val>
          <c:smooth val="0"/>
          <c:extLst>
            <c:ext xmlns:c16="http://schemas.microsoft.com/office/drawing/2014/chart" uri="{C3380CC4-5D6E-409C-BE32-E72D297353CC}">
              <c16:uniqueId val="{00000001-EE2D-4103-A236-EEDCB148B01E}"/>
            </c:ext>
          </c:extLst>
        </c:ser>
        <c:dLbls>
          <c:showLegendKey val="0"/>
          <c:showVal val="0"/>
          <c:showCatName val="0"/>
          <c:showSerName val="0"/>
          <c:showPercent val="0"/>
          <c:showBubbleSize val="0"/>
        </c:dLbls>
        <c:marker val="1"/>
        <c:smooth val="0"/>
        <c:axId val="1715299264"/>
        <c:axId val="1460981168"/>
      </c:lineChart>
      <c:catAx>
        <c:axId val="171529926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60981168"/>
        <c:crosses val="autoZero"/>
        <c:auto val="1"/>
        <c:lblAlgn val="ctr"/>
        <c:lblOffset val="100"/>
        <c:noMultiLvlLbl val="0"/>
      </c:catAx>
      <c:valAx>
        <c:axId val="1460981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529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[Sales_data_cleaned_VedantiSKingri.xlsx]Sales by Category!PivotTable5</c:name>
    <c:fmtId val="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'Sales by Category'!$B$1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7B9-4A39-B8C8-DDAFC422288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7B9-4A39-B8C8-DDAFC422288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7B9-4A39-B8C8-DDAFC422288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7B9-4A39-B8C8-DDAFC422288A}"/>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7B9-4A39-B8C8-DDAFC422288A}"/>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7B9-4A39-B8C8-DDAFC422288A}"/>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B7B9-4A39-B8C8-DDAFC422288A}"/>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B7B9-4A39-B8C8-DDAFC422288A}"/>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B7B9-4A39-B8C8-DDAFC422288A}"/>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B7B9-4A39-B8C8-DDAFC422288A}"/>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B7B9-4A39-B8C8-DDAFC422288A}"/>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B7B9-4A39-B8C8-DDAFC422288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 by Category'!$A$2:$A$14</c:f>
              <c:strCache>
                <c:ptCount val="12"/>
                <c:pt idx="0">
                  <c:v>MON</c:v>
                </c:pt>
                <c:pt idx="1">
                  <c:v> bin</c:v>
                </c:pt>
                <c:pt idx="2">
                  <c:v>ART</c:v>
                </c:pt>
                <c:pt idx="3">
                  <c:v>BIN</c:v>
                </c:pt>
                <c:pt idx="4">
                  <c:v>CAB</c:v>
                </c:pt>
                <c:pt idx="5">
                  <c:v>CH</c:v>
                </c:pt>
                <c:pt idx="6">
                  <c:v>MSW</c:v>
                </c:pt>
                <c:pt idx="7">
                  <c:v>PH</c:v>
                </c:pt>
                <c:pt idx="8">
                  <c:v>ph </c:v>
                </c:pt>
                <c:pt idx="9">
                  <c:v>PHHH</c:v>
                </c:pt>
                <c:pt idx="10">
                  <c:v>TBL</c:v>
                </c:pt>
                <c:pt idx="11">
                  <c:v>#VALUE!</c:v>
                </c:pt>
              </c:strCache>
            </c:strRef>
          </c:cat>
          <c:val>
            <c:numRef>
              <c:f>'Sales by Category'!$B$2:$B$14</c:f>
              <c:numCache>
                <c:formatCode>General</c:formatCode>
                <c:ptCount val="12"/>
                <c:pt idx="0">
                  <c:v>486875.02550000005</c:v>
                </c:pt>
                <c:pt idx="1">
                  <c:v>938.28949999999986</c:v>
                </c:pt>
                <c:pt idx="2">
                  <c:v>888742.4105</c:v>
                </c:pt>
                <c:pt idx="3">
                  <c:v>947943.745</c:v>
                </c:pt>
                <c:pt idx="4">
                  <c:v>1261347.8265</c:v>
                </c:pt>
                <c:pt idx="5">
                  <c:v>168533.45300000001</c:v>
                </c:pt>
                <c:pt idx="6">
                  <c:v>551711.86300000001</c:v>
                </c:pt>
                <c:pt idx="7">
                  <c:v>986428.01900000009</c:v>
                </c:pt>
                <c:pt idx="8">
                  <c:v>5425.866</c:v>
                </c:pt>
                <c:pt idx="9">
                  <c:v>34150.840000000004</c:v>
                </c:pt>
                <c:pt idx="10">
                  <c:v>715338.36450000003</c:v>
                </c:pt>
                <c:pt idx="11">
                  <c:v>130426.13250000001</c:v>
                </c:pt>
              </c:numCache>
            </c:numRef>
          </c:val>
          <c:extLst>
            <c:ext xmlns:c16="http://schemas.microsoft.com/office/drawing/2014/chart" uri="{C3380CC4-5D6E-409C-BE32-E72D297353CC}">
              <c16:uniqueId val="{00000000-B8F7-4491-8F22-659858641DA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[Sales_data_cleaned_VedantiSKingri.xlsx]Average Profit by Region!PivotTable6</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'Average Profit by Region'!$B$1</c:f>
              <c:strCache>
                <c:ptCount val="1"/>
                <c:pt idx="0">
                  <c:v>Total</c:v>
                </c:pt>
              </c:strCache>
            </c:strRef>
          </c:tx>
          <c:spPr>
            <a:solidFill>
              <a:schemeClr val="accent1"/>
            </a:solidFill>
            <a:ln>
              <a:noFill/>
            </a:ln>
            <a:effectLst/>
            <a:sp3d/>
          </c:spPr>
          <c:invertIfNegative val="0"/>
          <c:cat>
            <c:strRef>
              <c:f>'Average Profit by Region'!$A$2:$A$7</c:f>
              <c:strCache>
                <c:ptCount val="5"/>
                <c:pt idx="0">
                  <c:v>Central</c:v>
                </c:pt>
                <c:pt idx="1">
                  <c:v>East</c:v>
                </c:pt>
                <c:pt idx="2">
                  <c:v>North</c:v>
                </c:pt>
                <c:pt idx="3">
                  <c:v>South</c:v>
                </c:pt>
                <c:pt idx="4">
                  <c:v>West</c:v>
                </c:pt>
              </c:strCache>
            </c:strRef>
          </c:cat>
          <c:val>
            <c:numRef>
              <c:f>'Average Profit by Region'!$B$2:$B$7</c:f>
              <c:numCache>
                <c:formatCode>#,##0.00</c:formatCode>
                <c:ptCount val="5"/>
                <c:pt idx="0">
                  <c:v>17.821363636363635</c:v>
                </c:pt>
                <c:pt idx="1">
                  <c:v>8.0326666666666675</c:v>
                </c:pt>
                <c:pt idx="2">
                  <c:v>16.387500000000003</c:v>
                </c:pt>
                <c:pt idx="3">
                  <c:v>21.234210526315792</c:v>
                </c:pt>
                <c:pt idx="4">
                  <c:v>18.557916666666671</c:v>
                </c:pt>
              </c:numCache>
            </c:numRef>
          </c:val>
          <c:extLst>
            <c:ext xmlns:c16="http://schemas.microsoft.com/office/drawing/2014/chart" uri="{C3380CC4-5D6E-409C-BE32-E72D297353CC}">
              <c16:uniqueId val="{00000000-C91D-4FA9-B1E8-0E2303FB802C}"/>
            </c:ext>
          </c:extLst>
        </c:ser>
        <c:dLbls>
          <c:showLegendKey val="0"/>
          <c:showVal val="0"/>
          <c:showCatName val="0"/>
          <c:showSerName val="0"/>
          <c:showPercent val="0"/>
          <c:showBubbleSize val="0"/>
        </c:dLbls>
        <c:gapWidth val="150"/>
        <c:shape val="box"/>
        <c:axId val="1715289984"/>
        <c:axId val="1606276464"/>
        <c:axId val="0"/>
      </c:bar3DChart>
      <c:catAx>
        <c:axId val="1715289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276464"/>
        <c:crosses val="autoZero"/>
        <c:auto val="1"/>
        <c:lblAlgn val="ctr"/>
        <c:lblOffset val="100"/>
        <c:noMultiLvlLbl val="0"/>
      </c:catAx>
      <c:valAx>
        <c:axId val="160627646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28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A262-4318-A268-3BB3378270CA}">
          <cx:dataId val="0"/>
          <cx:layoutPr>
            <cx:geography cultureLanguage="en-US" cultureRegion="IN" attribution="Powered by Bing">
              <cx:geoCache provider="{E9337A44-BEBE-4D9F-B70C-5C5E7DAFC167}">
                <cx:binary>1HvZct24ku2vVPj5UoWBGNjR1REX3LNmlzzVC0OWZRAEAQ7g/PU35aFK2sdDHXVH33McFWVrcxNI
ZCIzV65M/efd9B935f1t+8vkSh/+42767UXedfV//PpruMvv3W04ceaurUL1sTu5q9yv1ceP5u7+
1w/t7Wi8/pUgHP96l9+23f304r/+E1bT99VZdXfbmcpf9/ft/PI+9GUXfvDsm49+uf3gjF+Z0LXm
rsO/vVjdl7l58cu970w338z1/W8vnnzlxS+/Hi/0D5v+UoJcXf8B3iXyhMeUJohz9OkPfvFLWXn9
5bEQJxizWEiGk09/+NetL24dvP5TaT7JcvvhQ3sfApzl099/vvZEcPj07MUvd1XvuwdtaVDcby/2
/oO5ffGLCVX6+UFaPUi9v/h0zF+f6vm//vPoAzj40SePTHGspZ89+gdLbPvitr3tvirkf8AW5IQn
hGMRk2/aAp+wRCAOBvmmLf6GPN+2xp8vHtlje/iXtse3r8pjx3jyjX/WMcgJZUQKlNDP2k6eOkZy
QjmNMUrYZ1uRr/fgs2N8ubjfl+bbpvjy2hPB/7W94PS29bfdrQUvfXzYJ1fpn1Q9jk8ERjGJv+MH
/ARzkWAGYevTH/p168+q/1sSfVv9j159coDfXpz+339pX3giLWSJm1tnyl8ubj/0X3Xz3w9PGJ8g
zDFCUj51BXkSI4EIYuLrZp8N8feE+LYlHr/75HBwNgj+/0YOcn4LsOA25F37P+kiyUnMCJKUJd9M
FeAiSCaUxF9iF3tqmb8p07dN8+TlI9uc7/6tbPPmPnS/qHuvb8uvCvrv+wmhJ5IxjjiS37KNFCeJ
IIgiHn/d87O7/E1hvm2UJy8fGeWN+rcyys19eQsW8f+T7iJOwBacJfgodCUnCCUyTtgXR4HHn7PY
lwj2d0T5tkEeneLIHDfb/11zfB8C/1kYrCCDrz9VFI9Q8I+ffjo1FDlHr/4IBHzW7P7Dby9Egign
6BEueFjmieq31Z/2f/LG/W3oYIH4hCScoQcszAEMcEBnIzgzPKEnnNGYCExiRGhMwaS+arv8txeY
nUgc8yTBgiQC4BsAh1D1nx7FJ1LC9UAIMB0sBynu6wGvqnLWlf9TG19+/sX37qoyvgu/vYCiqP78
rU+ixg+CIU4e7hUXmCIMz+9uX0KhCF/G/4eIcfCsHMd1oXWlpjFfNlnRkRTjvFKRKyYA3n9Wcd/Y
D6L5N/aDDRmLEegDlPF4v1LTYHmJxvUSh0Itsf44LHWh5jGaIDT8aCdCwUjHezGJREKSmDLBEKj3
8V49Z4TSPB/XBCObasdYnTY6x/uCkPrcZno47xdabEvS+ZVu2uQDL6vhKvjJ7l0S9041kcUHNI91
pGwfYqtsots3cVmIURnJ2QXnGh96RML7eVxYlgYsMq6KSeZauaWchBppdR9lPVVcWnzjZNsNGypM
g0+7uEVXpiRBp8Es2aorRHzf8bxaBzkWQypD2X/spyi/19xkK+sFXVVZuVwlDeFUdc2st83QF6nt
u+G64Et02qAEDbsm7q1XNk9AlF5k2Rsp0WIUyZtFKKNLoZWWs4hVpCOxrRfaVsqVRdSkfTLqSYW4
JZWiYmg/uiJqDyLwvdBwH/DQk3Uk/Jmf+Y1nxtYrW9DssOhoOTWE+atpKs+mnHTrOENDqk39NnJ5
kUpErot48VvPxNk89a0yCclVU7dNSpOoPZvzMk9R3w9phnhQJU7KfBVx6ZWxzK5xNNlDNIe3JukL
5abYrubGVIqLSKppEBedL4pNGZI0z22dUjx1axYl6yHz89Zqco1bowKJXs7NsGJYBMXxlG+lYPGq
dMmeNHhIbU1h+7YtFML6oy9MolhfwD/yWQk0VrtQdkk6lMKrKg9oxWPYnHCHVoNE12OPg+qrFlwH
MoYm9tx5bVeE6/djBlcdh1KuYh9tzYiuK9uu5INGLc2TVRbnv3e40CmayAfWZ2fYin1TFWVaYrdF
9SSVGXWdkkCvM2qntHL4Q8HdhlrUpK7vthQVHxHhdm2z9i2DH4ZMXlBafLSJOXOdPuja4tQOWaOG
vPldt3wbsaDkPJzmmd12NDrLy9as62SGezdJsqgmaxp9VtB4RKsizsJl07ELE1Vv/VDU6UjjSdGx
PEXJdM/7uljZqeUb68B47SQnlejEq6Ebk3VPjVWL9BRs3hSqj+UFmXN9QbPpfZ6FN5MmfM3IGEAZ
1qQ8i24yqs/mQqB0oXGmqihkKRHVaraZVxPXpzqz1Za35K1FCRwgkwplsF05mvcZi7eFjzpVcirS
TlQqrqshdQi25iOJ9qHqhlUb2JiCYa9zNydpVo2zisoyqMyBo9qGLDddFAaVBXEzIjipF+5s8GCH
GNXvE11V60+x6ks6+xIWP4flu6qeW6PzL/zanz/+103l4L9PLNBfHz7Qc3/9dP6V1/vht7b31QMk
CMdfepDmz7VAmC/SPaSzJz/8Q3b9ml6O8udnmvA7D/9ecoUaTVIC1fGj0P4P6fURPPkrLT9683Oa
lfiEEoh7CaQ0SgG0Qib7kmbFCYH4H0sCSRMzTiAnfU2zyUnyUKADqAICRSIJ6fFrmoUMDCVLksRS
SooY5/9MmoUV/yEZMYoh7wkcJxKS/lHiM1aaQItRbwLqXnJcmJ3rJpJWmvWbJHLjfSFnryKABLu+
cnMqpjJshpzTHV8c3SRV4dF64DEqIDqO7DrwsdvgJfP7rq2cyks7XYhM83MqtdhHWVJtOpmxDy3J
qg1kokLAknX3PpgMhfMCAV8Enmr4W85w/rqrfThvqrZqVz3pTKbaHslTMS1yb8axm9SkWVLuigI1
yuqxTfs+jgbF/HiXmaVdz16eSjsObzlxQ8qqGiIIqMMsaoBEs2u5NJsmWmqbujZu92OoilfeibhO
fcPHRZFySloVxTLyqU+0u7RTHFdpEePar/IoYed9Jo3fTkiwV75Fw7sEyWVWkzDdvk6K7AZ1ZioV
QdbOyjQ8v5htO1aqjyBgqC6n5rIry+F1+5C21rY16HRCC4Socb7AMx52BofxrkLO/RHRMjQqlCFc
dhbS72r05ZDOJWavMzTSs47S6Ca3Ar2NKm9zBYFm2ENiGa+HTPt1S7X+IGfACKnm04PgJd3UFmTv
c69YJdtd1ZPqDJWmyxWY2b+HAMr2IUdxqwaDCAgpE6EQzautRQW+JC7JfGrFPK+yqtClkhHtUs24
2RIuK69m3O7jPJOrIYyHSgS0Jj2JCqXH/GU/mUiNhR6wmprFn7mIFVlq+mW81XlTHMZZjOdwofoi
A4xSR1vuhngNKEGs8jZZDVOoVhbhYZUsLd+JyJnXNQTR1TJFzSmOqvJlFAmXOjk1lyKRelu5ak6j
bqSXeWLRupSF3vHeoVOwaLYnUWg2brHoj2ZZlkMe6+yqor44nwu4qG01ived9dMG0SnsbUXynfPy
pmnGdEzaKs2KPr+ydhpTkrT1q5pW2Ub3Mr41uJ9PDWrjVAOe2XBeAoJpwxuE6ncuN7PCYhoUmOl1
SIZeK993Pl6LhJnf3TTu2qm4qglO+5wdeL3RYhmV9eWo+kkCDuzrfsd8V9cpIsQKVQdtbsAPxHnA
jr9MLON+h7qpOJR5lL0NAsmbuCsqu6oopnILXzJG1RN1Wpm2nH8nDWp2Fu7UBQL1BTV1XaaITAwg
Twpw01U8fu0LGV8wJ+kOt00p1OyqTGViNB/RUNabdnS+U/OUhfeodPrBKWVyIzyu06IzECg0R+2o
4J7MV3ls8uu4sXwligxhRRapr+qp0WQ1d9q8nKScIa3PuVvThA/valPUF8bE42FGnl1YTU0LWHZY
YKWyWZVDj18mpBE7uTQ0UVnNhhuZTORV78S44+M0v09K427mjlTtjvAifg/323zM+UCpgh5OI5Wf
SX6LszIu02aSg1dZLsRlETd+PSNHmKKFo83GVkWzHXXTeeVYlm9rQLeXOQDPm8ERfchaRn63LtCz
NmoICOk8v8pNjx2ArwavUdvpeNujXl8uY4Gvh1bzbTGa7qzLa3dXwBUGq2aUvA5V6M5KG+g6w0uz
k5SbU1yU8sJ7t+SqbGfvlKAZOuVZjXdJM+pThofiDEtrAU0xhmfVRhjfRIyPYS14Ga3Bf8WFsJ27
lq1GL2MykVrVmNP8UC+jeKVLh2jaA2i4G5dqSZFDIRWoLpq0ZU3Ke3kompmBzxdV06lkGtp1FlV2
a9zYhLU1Mj9QVOa7MfEXqGi7SOGIRauaToXKkw7vJondNS+6MWXguOuAnNm28D+Fx8X/HgY6qy6Y
kGKTXA6F0ed2cvLO0sScj4C0NphUy6GBuuVUc0d2omPovV0aez4MbEoLn3Xb3DFxGrIZbEg0P8uS
xq7KvuhTiEX+1M9zsaQV68e1cO49IOFqXeKo3dHY8zdR3my47N8UvKy34Pr5Hlu+zhsCBUBhhw9x
Ze6LUIs1D9Gc5iU26VBFRpW0OZgobrasZ/HeY3NJolisWMajaxx5sZsX7fc6yg5It4yrik9o3ZXR
/HauvclVhnV7TTLoOK60jup1G5PV4subxYlp49ggN1Vevy3RTPZl3eEVb837IhrG8kCgpKeqTnq7
GnU8Jgr1y7Tpsnh4iYe4OJ+GqN5IW3cXLSGn0LD8o5/qXexdrXxYrApT6FM3T/hCVuQMx90ioaKA
Gk3xNsmtGpMqXlWiL04J9VKqUC9zriaWlVuTI/hnX8Vu29Di0NoM6r+Mzc28WnKE4hWW3eyUqcZ6
N7TlrZtLd+Al79/RsobyKMtnc17M3bD1OW5Q6mnUvGy6st0uzShL1cYScMIw9acu19ZtiGv1KswL
VUsf0XsoJQazhhQPNVlcdzmAmUiXaT32ZkijOkAeMCRUk5pJ8CFdyoLf+Sr0l4J346WxeVC1hzpI
jJDEkqSf05KS86qSl3AsbiFUzcUNDaihaZZ0Y5XibJxeZ1n+IYHr/m5hfAWw55zlst/Y0BS3EBCb
l4YTo6qOOZq2U5jgUFWjUAFlXzGY5V2kG7TWopwOBW2TUaFyaVI0djOUnu14LqRl7wOx2R8aNlYa
d9Ma+GqunIvEpqV1+6oSg99pXq7LIMKBt66/qotMv7bM1Vu3jOwjRaJ8Ow5xvSFiYV7J0juzKzvd
7kafsFoNdVtLOPyAFItjfwU5YNz2pR0uJJPLgQAge20WYQ9TiKZDQ6Re0aZB+9qxDhKSYGfL4CuS
SmLkPm9BVyzpljvSMLSTugsrypZsE1wz6JXDbGtztl06+2rmdlEdMyvBxiatabsiga2gnM2gzvNN
r6Tr1/3Y3kOhB3iugqtoJ74miEPl1PiV60a3inm04mS+jmhDD1U1xntbz2xnXFbdMohnaYgBUrDg
oISUHm1qGDWADEM6VbRSXgMzgc901owbV4fs3I+4UGbOyKYufb0asjZlhpILPfSnhMwfMQ65UQOk
qSllgPY/9GVYxwubrSIAtS4SW8Ubr8fmtFt0vo2WSqEwQlZJWjzcdFnbvZrjvkwnMw2bEU8XSOet
EkkIK5TzYpUNk1dh1BSq5YirOa6TDYVQlqeUTu/gpeHMOLG8b+UyrbMCFZs41/4M1Za+AX3LWsW8
9zatayM2dW7jNdMo2nkT5weRCXFdD5DLs75Gp3mT2UvCRHkxZ0t2DRyhPHPI27MhjyxReW3ZFXho
Mqm6ztszqEPctdeE3S9o0mncZf6STgRfsJ7wQ9+W7D7Js+Sc98kDJZCb32nbNKcM+PtRFY037yLs
unMIm+W+Wey4Co240/2Q7IQvypWOi/6ii7F8F8ddt/aF915hSPSAi2hRn9dz4wD5G2r2ldMhqJzV
M0SPzii9TB74larfJa3g+4iJ+WVWFGFZ2bY/VEZkKx8l/kAnO78eafCXk8vfVlxkVyir7bsRyWZH
RW2giKdb2gIGn3XRbITheO3aSa/mHFcXrSgg09WZXteAm9YeQXDuE26A87HsDYJSBtQs3WXTQ8AD
/Fi9zb1hfyS+tAesPVzgNsRnEne1UIvu+1oFKMWvNSkj4El4vyb1Mt1lc2lTbiDvZZLAznMYNkFA
Hp+E0KeVaF7xbtBvZJQBynQcrXoARG2r94u2W5d09R678nYagCuEjDohRQHyrhDrgcJA0QqhuV5B
mdUpWY93xoz9jU1qdyhaoBmGYhj2lGF8EFNfrkmwaDU5m+3GXKYJqiFANmWxF+WHcUDJBy1rui8q
WAogLFJoLNu7Ocrn03LgOqjYlHZDxiraZm5Ea1lB1eeXEdQXj/FlxOS8XXLbXo2992nOq/o9ggtz
0Vs8AAnaAYlJCqAEcQA40STRrhNzd+4SlKeTNvPvWWYC4IWivLU4WeAodbl2fsnvoBgj+4G1eFVk
UayGpGteRdEyvrTDImrVeIrfeVFFfziR9JvGoHrHpjmxQAGVdZIuk4Oip5P4qpWuS7MhrIK0lUuH
JLEbWc+zSJOx4gtUcoNJ6wD2YiKxb2c/jXCzRr6tIj8qn/XnNMpT3kBKqRhRvOdVOhj5MQHAP3TJ
2eQTWL/u0mnwyyoxJAV4ig6Wt2jthLtvxmk36uRG9hKWwYO5MpASlS39vAtS6M0ct81+oFW3t3DK
dw2qhttlwO06AaL3dcRIclbNVXYXAWYq1dz7Ph1almzBPPE6cYM4p0tZn/Eudu+EzHrARoztKwSQ
tqdRBFlwnqI1LolBu2RhU6s8kJ1njfcQ4hvjki2hOVP5WDUGoH4lN1lbyDuUzDwGforNai4z8UfC
Iy5UhKR9XQNEeiDykotuXMq3zTSY7ZxnZscJnW65zx3kDuvxVdnPCGKZX651FA0Hy5bpOgoBiDg2
2iFNoDW4zqxY9gswFS8Tl7S3es4MEG9j/baG/AYhPtC9mGO35nZsz2VHUK+arubrvsNoRbKmuu5Y
xyNALEN7jxY93ESej0KFIQ7nnFV8PfYzBR50JvJdGWizFYF8NNYnhzjPM63m2dArqTFKx5Ka1xA4
urRFoc9XdcT680ks5NBmhGyieXZve2YBuS6ivPLg7irvyuoiawd2UbbtUqolLPOqyv3oVOxIuLKi
qy8BXBe1orqad21BINQ0kERf6gr6AcrkrNzX3MmtxUv7e1EDhlUA4dzOQdNhlUAVc0Y01mkDk3qv
OIoqVVEh0jlY/ToupNlmbUalSpah2I+eE8XCuBwcwLND0yzj22Ghw00CKPS6JyNkk6Wgrx2ZzCEZ
cPFeix5yUTYuF2xhNTCTNdJnbVzgcx+GRuXYc8WKku1RPUyNWpqFwHBawdntEEd5rRJL0a3j2DZA
HizTm9gOAriWIglAPHQxatY6qfrTaAl4TSsJ1W6TRctmFrY+hzxev8unrH49iIatlzqGwkB2Qc2S
VJdUxvIVF1YcZMsmhfuBrcaIuAvWzACxii7YRonCDG+x6PgKKOn8Mosnsm0DhiYEGS1/t+AsAtCA
kOpqWZ5GlgHqNAVQtlEfN2vRZMVVEbgG08rbegQGJC+i7QKk1QbNUIPDOXBKGq4GQoE2lhBd7RjZ
kPoH7gE7sBLuErxqo9K9oiVqDpUN/bD2S8ffRzHUF9NSAFxKLOdGiahxHXBWdYZSo30KpwZ4G/Hp
d5MV5bmJGQhLJp+yKabmc6/qf43//f9H7d49HoL82pF+aC1i/ENS98nQ2Z/f/0zlJuIkxlhQBs3R
px1TLk9wAvOdEsEwifxM8n6hcqk4QUJA3xymGRIKzC2MLHyhcvmJ4CimiRRExBgYVPLPULmwzqOu
YkRwLGLB2CeC91GnNGRTVlmT8F2OVwm7DMNPOqPfW/fh80frJsQMPECncN0xaIKpZZnnNznh0+e5
0s9jpV86DI8bvd9bHqzyePlCRHYeJy/Wedu07cuRL0jf6GmpPj7i5L+x/tNG8l9qgeHCx+snQOXJ
3mZ8nRAWlusaA3xQOS0YVigGFkfFtOmyzY83+95hjrrVAWwPFLrn6ylQCTQSorpV1czlHz9eH6bB
vmnjh47yI1uIpAHiBVLrusd1fI7xGLvfR1QgfjbLzk/bSCy8VW5u6pc/3vA7B5JHXYFaQuQWDxsO
ZSKmQ5X3WZ/GkN7M5w7Td83/sNBfff4/zfMwD/f4RNIsI+p6ytajDWI88JlmJK1tIPkZs3lBznFv
e5s2ofEzUM5ljJsN8vnQ7n58QPy0Gf+XAA+qfqTSWrhgWZjZutd6aKB+lVtB8UcoppoREI4eB6f6
WURn1aixXQMzXkHXN9KSOJjB/tFAwPd0/HBzH0lQ6tkNJRtBBZKwFMjhj1ALm5+c73uLP7R9Hi1e
gaeOcu7YGqoI8RYBFlQZ9OQvnyf6w66PVgfq3PBAW7a21Jh7BDP/Zz4ytk+ft/xRbKiikdVNzti6
7MTwGo9NrKZsEc+LPPIoMrTlWNQ1FMzrroqWZY2maGhXvK4q8Uzxj6IBmTR+6LNANKhioMFmzqdY
NQ240up5+jkKB6SYI2CvoCXiq1nwKyBJ8+6167roJ7HzO5dHHHl/kKhH48Tkdqmwg4I4jlo1GRva
nyjoae/xT98TR86fVDYuezJnUC3JxW3GFtfDuhxnbFaNyePkmdscuTiFto6EERmx7TpoHu48r6BV
uXhcTuvadFBhPcsa4siPm2poMgpl1rYmdrmx7ZxfesGTmx+v/j1dHTnyaIEmHwF2bEk0GSD6WkHP
dDxXzRvLJMxc/HiX71n84fNHDp1LGMSQopbbtoznfeQWdJlo3Jaf8eR3o/33lqdPl68yIAlAOXzb
i4ZMwIFO8Tu+VPX6edIfeXQ/iEpI+PWc7VCCBbpSu3XcR1DwP2/5I3/uDfVzORdyG4fBgg1mOUUq
oBm6yM/b4MifbRKxJplA+wl2jd/XGPrX67aAXt/VszY4nm4TZKYByne+hQrLvBYyhKvJ6Gb+ifwP
N/0byZwf+bNLhpEVvRZbBx3q7KVwrulf02ZJ0KGL8kRcw3Qg5fvnneXIq8Xcwq9iwSD9tqZxZ3bd
QqdE5RZ4puf5MwxYPPGFycwN70grtjboOt4HRwapij5uf5abH9TyLXUduTQQjBq5Ee5Tk811uyo0
lOZXLloGftBd5uwaRo9m/7aEBusfPRDK/iea+x7meZiefuzl5aQzUS0jxN1SlvUhhwEmAcjeJgDr
ZDcWcad8VyxDanJeu42dFi1gnAxGBX8fUMf7Zyr4KBrM0AmD5kaUbZ2I+hU1o4CJt5L+5DLiB7f8
lnrJ01OyoZtMQ5oEps+WtlpDOT/A1F22LOWuTqiYL3Vw1cc6ike3i2EAjF1MMLjjz4mQsngrLWHs
J6J8J+zxo8AhfcHqajTxthZZAC5gSe7raYJ+x/M84ShslC3leIYBmm0b1eNWdzgulYYxmw/PWp4d
oYAew3RMUUCPWsOk3zsGqfQC2mrueTGbHcWMhmpfwIRBsoUpX1SkPZZuUb1p5/CTW/YdL3v4zZrH
lz0YINDI1MptN48Z2cu4bdH7qcbgcTnJUaW86WsHXCGv9V3tlkCeZxZ2FD8ojOXAJYJRRi5hbg94
cxIcMLBx9Mx0wY7ixxIvtul5K9Z9w/Caz8AVLbyKVs8z+1GQ4FmCfNFMyzb0utsuXsCAYlsXP4lB
33EJduT78LtReTRBatgCpelSAuOlq2yuyDMv1ZHrQ9VTSWyqZUugblQox2+8jn+GWr8n+pE3Y177
eCr1stUP3Yh+9giwQJPj4pn35sid86LvoA86L9soexj9HSa7Ao423j7LrPGRN9N6YHVnYfUuIzHM
ycJsT3Aws/C81Y+8WXqY2wFmEmTvSJ5a2g+KW5jkft7qR65coKiFxnBYtg025SYkXqcDi5fNj1d/
cJtv5Iv4yF99xvJlwdG4HSN2D2WnHTZxZ2u/7UbBn3mCI5elA3TqC5uNWwqO+zLpqmKN48o+rxyP
j1y28wCFxoWP2ypmfC8T1q+K2T8z3MRHLos7V2ZyKfqtDmV8akonzuupfKboRx4LiTqzFtNuC3Pl
GYbRIgJTRvlk89WPjfsdp42PnJZlOthoAZoHZmumg+30/+Psy5rtRL23P5FVCoh6q3tvz5yc5GS8
sZJ0twOgiOL06f/P7novcvglnbe47YHNWbJgsXiG+cFWAKz4je6kLPqjwRLZbr4YW6/Te4rnZPkm
Nilv/NYNdbJWRO0y1gvZUBLaA0yA+Mue7f0fFv5vYnOl+fx8QsZdIAAyrpbzKJsop5Ml+Qjwi+fU
naSlumOk6tIFkQ++GIL6rs+2yu+zUidnhT5MEEz8/02dkREvWAv3nbqbrTEeRNMmWs7ZiqYxuY4+
+Qfm+jl+umuLcNGVnDD61mVNYVNhc85J5xl2J1sbFqcDiMYYnZG/x5bJS93Wnp0t6mQrAHgybWsM
nh1WlTIBNroRfPOrDa5I+Z8Ds800qeQulnM8V2u+RQvJ8ew1+x1R/7Kyfgq7ajTpBxrac78AXw2Q
yt+2OyK/qLso+ukwsx6a1Z6VaFjOWfwlWCbiObiTp2EVG7o3wYynx7A/TVv7bbLH5Dm4k6bjlG0d
KmF77ngGzHjXytwakniO7uRpQrugboMMU89s9AiAIX1bJbX0e6K6EiheLRjLSM8wcnlE0J3Jjx7U
t1MwB+nkt2aIk6pk3DJldb2UwBL04AFQHZd6JfMPr+ODOLkatRUxw6ZwslaTvMu6KTpNotvPfqOT
19GxptK03mNbzhn9GnXkeWL02W9oN1OnvVP7HszAfQZP2B6/7CTx7BVeKa4/f9SsBcgt6pMZWOgm
PQH3/jKIavD7oJFznvZiCkyWWlsG7dwW4EI8JEC8+y32K1H655njWXgF7CoNzr3c/mr36BOJ1b1X
wCMnS1Pw7ECPCPYSw05zfpCpAUJworXf1hs5ebqA7QPAoJlLEI/Cz2zGPgCI2hH5VRqRk6h2lCSU
1WBLNZjjNGzJ96bVlWfYnSQF/2ZMltbYMt7NXiilMXXxp5fX6yC/uBxcwQM/f9Os56zVgZpL8KOz
x3Sqo0cZVPqT32d1UpTMZDZQrcJybKomp2r9nKSt5yd1cvRgA+hHjbCliReaR+n2RY7pW795OzkK
EN+2thRjB930wuz+GAM25TV06GTosFZVPdN6PodVEBRBVz20R+jZH3CZ11GkdXIEJDjzMHuj9uRL
anbpt7WETooGDep0MyAmsumfh3q4VKrx28lDJzuZXnewjqLgPBzLjVnJPYv9TtDQSUygpWegL3G3
46p+SIet7E3l98waOmnZynlrrMWktfpwLLboko9+K8RJSZl1Rh8CH5E14rvZsuf04H77VOjkox0X
se0rn8t96qKXAyShsrN0OvlN3MlI2lfblb09l1MAKAHpxU1WZZ/9xnYyUsh2iqEIFZzjFtVtEPJv
LKN+Bxt0Pl5vgljY4yhDHMlNyzdABVlwAgpz8UocsFBfj55OCzB/8RKcR/7eDKcUXWyfmLDMycgG
NEI2Nvtc2hRgDqC/dR6N/MVvcCcnV7x37XtfTeeo0TerxNs+iC+z10qBBsbrkBhrQxFIDJ7K+C21
+kfLduMZFScvMxbv4Zhm09ko+jbG2JtdfMd2UjNa2wRchQhtY6hiPNi07u5GtnHPqDjZ2Uxskahn
sVDig+dH2H2QvPEqsFjm5OaWWbaKDJm/0X3uipBVfDgRVECt19bCMidB9apYhbeauayZ/hasyyc8
PnzwWoouWAvExdBwirhYW8en0Yo2pylJvOoINISctdgsCfrRGya+bW/tEN5ty+iZoamToZ1KQpY0
dCpTQR8lAIfnNEmIX8SvHPqfSzdbG2Au7TJDqUI+s0AWnWm8ihSWuvkZB/1eUzWVhMSkWFVkioh1
//h9TidBQTjpJtAPJqAZ+Jd62u7aJH7vN7STn5uZK5GSwJR7BFC1BKXk0qvOD4YBXYPXAR9iUMoA
8DYlnpCOU38MTwmd/oQxuP71/1uIs9RJUKtBSWmi1ZQDsDYyn6wJ7oMl3N/5RcZJzzWg2BWZxRdd
9r8mVHDblH73GtpFUwH0PTWaD1MpeP1u0/oWZH6/degCqaCmIngnGViSy9iclxWs6UD2P/zm7SRn
e0BdxWxiKrNGF4LtTyr9U9l5zZNffEwXMrUG6AcvOjEg6C6xzUHd6h5HrjfoARCQL/3m7yQpuCRb
L4bYlLKlX2XDPgVavPgN7aToBsSjBIfMIP+X6WaZTJSDYev3VMcSJ0tr0sStoQQTZ9EntQR9zgL9
0W/mTo4226iFCZupjAlI9OeD2p3lfSobcfL7ASdPQUmsQVq6Ene34LlV5KUd/e7iLHFyVLbxiAsz
hq727HkO2zcV5V7PUBA4e711yXSv1LjspqSVImWQkvk5qtfWC+nLXHwUSZYwXlqsxCqENshuxpIy
T3Qa406aqq0K5m1qTNkvGky8JbmA/+/XHQbr4XVcZsMgqJIh5Nge75ed3Mt488sh7qQnFL3AxB9r
U0Idps+TY7/PTOv3bsZcpFOGVQLRKmHKCGRIGo0PJpw95+1kp2nxOsHXYCwnnn5qI/Msxeh1iWPc
Sc5qY0rUujMlR2TyDCD0fNxV6rcfumikmXZj0A3ZiHebBiIORDzbIPvglfXcSc0wxD2rj8OxrFuq
unxFo+Jsw4D7BcaFInVdBlRatyNvsl0VqeX8nWzDw++LulCkpYt5BazdWB7ZVSZtYk84Sf1ez5kL
Q7JBnw7xNmC5DBkLBfbaXYDmlmaL8Orh4IX/dY4CCxxmNTjzZV03awKVAcB2qoqNfu8IzIUb7QLy
LUZVukwDsOeKZdXqH5slq+elMWav5x8pEkKsItClafbppGre5YhQfPFamS7gKEm2LQ2XUEPUgJMC
In6moLj95n6jOxk7SyDwJtrrcmJJPefRQcQ3sW997Tm+c5purQGrdUNshqYb8nZWHzYZ+Z15sZOz
kgwrlCQs4t6n+mafwumyyqG58YqMizdaKPRbtFx12VXx8SkcqvoGHgla+AWGObdSin0yJuAJl1lf
jdMlsSlleVwNfPT8AedYxWOcGHq9IPJ0Wm+NST80o/TrzTMXcpQIBX7obHSZsPl9W0/Pq5jf+8Xd
OVbral+plDUIy332tR/WKG8Y+xO29pqSv6jbXaDRiJZ5GliIi1CQvb8meFS4sUItnkvGOVnnMNig
6BIPJTI1yzmgL3mwB8nZLzBOqpo9wBu9xOjxsts8jvQddLT+kEr/lqC/CoyTpyPUOWINAjL49aKu
wOLuO2w2Sbtd9V2zWtwova/vrZrkLZ1owMu5acb4BRS3ZHyL/t9k3meJ4jcC75LDTSd6xvNEtmjG
19uYhisUabvRfFhHEtgi3MdefBuaBsqoHIUlOUVQCbHnRNvNnmSELlkBTcl5u7VjkHYlSbaG3UKh
bd2LKEQ34TMUTLv9EtFuSk402TDmCtW341KPGaRwQkkOe1GEbMdpWhTtv24JY9XbGXor3fcpisex
TA+SLaXZ8Pee9HzE5y5c4rToExJBw2JPantTR0OdPUArFbywEBTw95ARW0GK5uZWt5M5ynDI0v2y
Krmw02JYHZ+XZGVoYctmgVya1AoKKpBe2IsU4h8JtMdaE92vfdVlt5JGMysPRBvyUVQst8cRqCcD
HRt2YuGyHHkHivvxXkbdkPhVIczZMCHvarmwFBKfcTOg6xNAVAoaY17L00V6QVAU6h8jpKYarv6u
mHhfJa3fvF2c14KXmE0SzBsaruWUybsqjvyag9TZJeMFyJQIHaSSZBCLqQJIaWQyGjxj4lQ2Jqwp
F3i0K2vSdfkmxn94Z/yKPurskx3orUufhENpd6shSbG1NwOdld9WRp2apuFtaHvCp7I2gj0w1K9A
/tv5i99acTZKo+plWfQCFca0th9NOh5o5vfp7Bl2Z6eEXg/0aY9sKDM0lfOYdA/NUfsxzZgL8gqR
wjFL9VDug67UaQjXrtzGsPW85bgwr6hvoyOAalDJIay9naH3ZQ+IKMRiPHkF34V6zWpcq6CZhxIP
Vf+smt3FUI70u6KR9HUprCF4tYx7MpRNmAFHNk+Q4YQaWEf+8Zu7k65LPELXwxJdyjGDolYyjBRv
7CkhflgMRpyMXaGiFkEiCgUC3L4g8r1257ZtPQsEF++lk7XqjhpHON5oTAFEGS90sIalX3CcnF1D
UKXjth/AqpXyjkN6a875aLgfvp+5aK+pg+52NQzYhnub3DU9Db/iTrv7tYKJk7TJpsZDTahX0cra
bitW2TIJ58Rz0Tv1DaHSZu31dOpaBVn4daxzOyvlt+G4kK/IRJvdcE8ug72nf0Mv9vj7UBYKTF4f
1gV9QW0fktqd0CWsBpbgVmR9BGHNdY3/8Hb4G14dhMpepy24rVXFZdqXh4yoedGiXaAIm/REn6Ao
HLyAcPYUBJnsTqjiRFbUGS6jlyaI48Hv67v4MJCCeWg71J/rPkKwCwYJEKBQTa+l3zXaBYjxkB64
s1x3pmqOKujh1OCdQd5xDj0/knMeH6E1oNeSvqQ0agUcH7qV5Z1gi2eBFTnpzadDmZ7gB3YLNdbm
sJ+A3v/ht8Lo6wUgZ7XPmYWPgDaQl9xq+s8xx74TdzK7Ho9omkSiStS2F0nEHSHTH+4t17/9F9eW
fymUP2OigyCsVyiIlDNbpkIEDE8N6/HOLyhOuTxDub+OYONRVtakZ9sQWE/EredR6eLE1gTmhz2+
aNmaLfiuupX+MAGOG6+5u0CxqWP9wHq4HKDWekqW416O9R+0XH4TcxcnVm94Z+Rm6MtpI81dJE2a
w8hx9TvEXKgY9KvadBFUlVSkQ513aTreNYntG780dQFjLNsGyvtQlUncd8WYpTeCQV3YL+pOihrd
13WVQU49Y836MBnFimTuluf/Hv26k/xisYdOkmar2Jc1wvkuDzai5A+nOjvLMIJrAsetrversVwM
WbpD8otDtq0MLZ01tCrn7ppaYTac/vvv+N0Ccs5iFbTTuEB3FsBO8t7O4bs6qjyXvZOyULKY09Bg
7uiuxafWoJV/2Kj3+rxwHny9S0I1PA0EUIHnKDHVu2UP9Pu+if3YTFDVej26bPvoangjr3tw+qwV
jcu5jVOvoFMXS6bRXQgr1Us8hqMrMYzpc8Dq1jMwTtVs97nf7d5KIAQg4VSAfDh+OWQ2LJ7jO2cr
BGkqaE0aCZG65Dt6R48qaT75LEa4XLyOOltCvFaDIQjS6lBBoxBCdn+vdPST3qCZk7MQbe77prqG
XacVGo5Teqt4bL2WO4X+2iuE0EA6ux0Gk6/qBm2nCArokFTxO6GoCynL+JHs8YT+W7TO0X7qW+AR
IEved4tX8wWqF6+nny5rpVHZyjJq+A7fnjB8O4DP987ry7qosp236HCtY3CCjuQ23HXw63qCP1Vs
/zD7fzst/7sfUxdYBk9lsnFusXS4jaGdG0W9vWnFMpoLLmKWXKClx6fTGMtteAh23AoedNKN6guJ
KLtYTo7bhAV7DBVL+Fih6RgI8Ub1EH4u1DjubQEV5ur4PlR7ay+9xplb2LjbflDF2P2iu/lubxuY
XlXQzswOaGA0OdTn2fHSROC3PIurTsULZH31dMKFjR34t2YtmhDIz6dON8Fxwn89tY8U8r/LD7+g
Oxd04BpHciUkn+sq6p6WTGQPpCW13wFLXUjcAC3LAd1RUZIt/JuT8TmL6rd+M3f2GNw1dxXwVZT0
AM5WEnZLhulPQhrXjfBXS8XZZawNVH1MmyhHWFXQWzMdcj1lO1APpxU3hPqWZ1w2Xt016PW9Tqto
hCUdg5J8GeiAn5lY5eXQsv7gFydnz2n2yuKOSEW5DAxOAtXxae5gKfHfg1+D/as4OaVBFNathfC1
KLm07XugqtkbOL5t3za4Sfyhs/m7n3A2HRhaJTXRozhPG4VrRzOPBgrAi0GzHZY8YLT94VL9m0/u
ouYAT4BAOJf1GT7rQlxsvEVAhwXy3Kojhd784vnsRF0QXd2gd1IZiaD1JADQjX/CRuR5gCVOQgcQ
HEEjoBdlhOe4ma6XmUZ/2KB/8yVcEB0MP0R6gIN7EvWYzLeZnOLLkGZ49+f1IkMvdAFNrr/+0xUx
xtiwiEkCyHRASBBc9/pzNiZ+1FaaOIk97dnYtrvpyiSJ5wsw1ynMViK/ywp1gXTwLMJV3EZN2bKU
XfSyqxOcbLzucTRxEjnkOpIykdUJ6tx38GnJ2cA9Y+6k8Q7fFDgZYejjYGeYllxUS7zuh9TF0O1Q
XWunTMC2sYUFSAxrRu7XxaMuhg6wwqsQLhwhdbeOd900zWUQ0/f/vbNdF8QvdjYXQlfFSbPsNMBi
j+rprLVh+Z5JdvEb3cnSMBOmisOgLZN20vdAvX4aISnuOfh1h/spg2qe1MFCbFvKnciLzWY4Mo3S
D4pKXRhdALuWmMHgomy7bjzpJn0IEjOd/eLipOcGWzU70SE7zYq124WQ9YM2Qvg1FeEm+zoyzQB9
fsn67NQv45OQQ9mZwe8Qd6F0e7NttapRSMnZtjDV6mHaKOM/7Ly/W4xOfi5A5x9g+CGJpmXIgRor
oMXuuSW6UDqYo8D3YdYtWEuw2+trDdOYyvSZHyANgtSvg56pHZwLEWcgWg0HgSNMZe6HTbR+PEjq
ouks76s+gffWSa0H3myfgQL4Q3Xzb6v2F5uAi6Vj/IggTgVvlWgP6HIftioGwaiGcCisOfF80MYZ
HIGScVHxmaO7thbjLOIFcpya75fRZlCWP3RUk28qiclSViltE68OPHVReDCdi6C7MV+vSzD2um1p
mNpzM4mpP3nlogvD69t25mnUJKfNNBwb1N5ZKM/HPKJ+dw8Xh2dmYY+l0rDdgcHUWaVsPemMeXWa
qQvDQ8kWU03h6RNddb9WyPEXiiVe+GoaO0exTuDaUM0YfLHQbpYTG/MB/sV/WHa/yfbYyXbWWLDh
YaBxJh0c7KiASxA6Et/9vqpTTg8C7p8hrebzQhoF/8QABK6NhX5HjwvCg5uyCBk8Gc8DkDU53H3r
J5nQ+aPX3F0MHlu1hpfmOJ/hsDMVTBz1ud1jv8Aw50huzRoNeIidz9CoJLDN2MR3Hh6JXxnkAvCO
uFnH2S7TGX4msoByNRRhWOWnekKZUzPLbKYHTePp3CabucTVDH3xQPi9sVMXhEdXAusWMU9nuqoG
iKv5BfTqP7mU/2axu2Jfdh0hmZXs03lPogO2QcIUifCsVZiTp7GwHFZdiPqhINcCp7N/QtP4cQnh
Qf/6XIOJqxphaWrPNdgzp2xtYNxNQOX0W+tOnh6gQVTtgsIq0eT7pOh71RA/ejV1oV+NQkt50Mye
YRMa5psm1bmqAKP775n/5proor8kXFaIGGh64ZWMl7eNVa267JxIc2FG4xT875/5zcJxkWDVQisW
dfgjYGgcnBYS10W/WT8kGHX1vnRTJfPMMXpd9+0pBQysyIb9L7+pO+kqOmwHwDOas970XrRq7E6T
qvwOPhcJlmkWziqOzXkRdrmoJiU5BIwPv5Pvalj9891iV5Tzw6zmPDeHvMAv68MRdbHnJ3XS9WgU
Owb0es46bZJCwau5ACTVD/aPV/3XU++TPZnhPKXPgQpM0R26z6ne/ZSbwIB+PXrFmDRRx/W5ncem
OGIlCxhd+6kKUhcDZqMdLWdTp5eu64+XI9Tbxy7s/6Rb/5tUclFgFV3XyAKsfIaRGfgo14JDk+hP
PcLfje4crHC4Qbt6z7ILC9A6X4Ifg+xfvBLJRX+JiEQV/DOSC3S+KpkvsLr7ODfb9NlveCdPIznQ
4QhNdom16gHA7TbePPBI9qlfrrpyX3pKLap42C5mU5R3GbmToWcl5oK/IMQ1zjvB0Irh+LviIXo/
QCLM5l8vdZhBtDAoHrPLcZU+EmvECtaka+4XdCdNO1j4zsd+NX6FGWBv9NuQ+6kJUhf2FcYAFVGl
2IkD/tD1wQPr22evWf8P5AsyQo2hPTsROHxHJdMSvOtmVfaD3/jOY3Ovo7GTdkgubIg2SKizid1d
qXp/0hO8JuMvbrounqsNhGbpWnE4kwbTzVwti3qakrCuz+CpJtVtDXfX5nE+qv+Py/W/V9Vf/ajT
qEp2UvVLN0pcW7e134pItpLosxDIOnlpqk3IfBwU7Gryno4427duN31yO0jNG3XBxboTKpeHWPbb
ptqD6hulK2B3fQhIq4Br9n6ssHYMjR4fBI9S/bhM1Rrx2w0GyaPIYYVXw0A5hMMzrXMzJxqF0AD7
ZQ1T2XGov2nTKBvlTCStuqWHgNzzaceFPoFZJnzuTSHgF7q9h4TcurQwE4TFD2S+93ab4Cea2QDW
hNkOaXhxE2nBIX2v0LOcVQ5egbSY4JQM/QdNFC4yXdKl/yit8I+NHdly4oD70twiQqJYlpW05bHb
Da5LIoSt6LcBTdvE5puJwmjN45TXzRc4r4rsh6otjH5A5DwGo3KofXVwegZI70Yf8FrOe4hGTcW6
tlMk4D88HNX5wJMNOQek2qaiSrHSsmLh6x7DOHw54vA+SheeXdrYHgq8sBEGgXAJ6IuE64U/dqFt
01PY0pUWTcJHVGGpSk+pggBuDl91PvbAb3ZDU59m2P9VSYEOyVYPmNnYmyRPCU/AG4E5Y8USlI3Y
S7iyd/haA9xvTYrKLs8iWNedrOrJ13FW/LTux5b8sO2x04s2QyyeDkNS/hFm2UnyROeK0oejgjly
fZIHOCrskq02giLCwRMrH8HQSPG9NHw8Mbk6PLLaXkKoGqMaU+FwiJud0239PqaqHepiWNAMvk3A
QMpeoi3ZJrg19wxOYnUaXGUgpZX9GoDFcgC0BQUdmBXa845vOQy3JEYjjdxy0adNLrjILlw0fQEP
7lUZdFP2YILD5LAv031oJ3FeDfaoJz7UtnvZNlL3KZbDQOylozEcnYe6YQQqsc0uT7jXNOmXdKb9
cJ9tBy5+TRxaGGeuekYzP8/SOCGooOaZUlpkMaXdcyRSwy8QWBHbfU/WCF3tcIa22oFnZli9grsV
7hOfgeTkEFkLpf0Ox1hwZsySMP0+iVWUnhq4bXbfcfdJJZJGsWE5TV08TE/ChjV/ATxrVJduT0AT
yoZwiO+OOCDiIWpWcfzV9nKwYMyYYGBPI5K2Ofe6gbW4VlE3fmoClYYE25uoeZwnimX6KZxnEX2H
sXKVwqi2zlRdriss1+9C07Lhc7fyPS6geR+CjV6vNMog7Rxz+aOa11rUuRhF+j2mfNSfwC4/4G7a
wuIVnyEa9keg+qYU//MQsB9DZ5bjVhG97y/igEVxoRtk0o+OYZnf1IIcT3MW1peQjGn3JjU24ecw
bXXzbhTNdrxdQfAgAV6ioRuQnq5KxPx2Wue+/0fg5aa57/hI93IYOlmVI8kic29HWIsWHaOMfEk5
Ydlf0SqqJ1DIgzs8Ix0/QG1RebfG9amGQFBw2tojXe/gIbEcNxAPop9l1rLspCWYjs/J3sj+Kaqr
Nrpdh9bu52Bsuu0m203Iy4RvIvwU8kpU75oxq3Wh9zmAJmIXZhNINIrDyG85ptg8TuExh7dUcy0/
wLijGt7YOEuaS9iIITnNW7dg71zj1DRwpOwj8zhmC/8hoQnQFxVahuubZgsNtpJm2NYzzE1neKeH
eK1a7kUHgeNLVVsNek2QLPVLk04Zu1Vaa57PVWD496bJOl3U/STmLk/7qAphdMTodjtJNc2neSXw
Fp6nnkR5L49Vf6Fzhhmc4rCOIGe4YRZtUE8m77Zg6s/9VZInh6DdIZ7gctvApVqb9SsJ95XDXq3u
ocsJKwj+iHKp/rtCCidFJxuiCq7WePi0j/BnhMCRUpA8y6k4jvZ2ncGSfdnhT2eqvBnnBEba0aHX
YYDjJ47pNUfHe5l+rHah8UdYcBgcCAJqNdk7iVGuH1LP1pxh4oiXznO/EhXn4H72cSmzKBPnZamp
3HN4sKfH/bpNNboWG2ysspuw2lEjgsnWNLcTXNaC/DBtG7znsTDk1MCROzhN4RJlp2Q/ju6jCQ/a
3SzzsWalVUNQncaVVPsDhVnO2zCauvY9OkdkhyWxlHN2gWp8Pd9lAjeYpx0tsfTCRIvzbq6qeATO
mzXbg6rDThTDYaK5YNokAXgLZqpaWMpjBUXv5lAokDF6mGu/bbcwITcDnoy7pwFKd+2YLzuDgQ50
xfNxNVl0G9Fsmt/E0xj030i7pfKBSzphjcGiVzZ/UZkeWAkKkm3TeajTdrngL9u6c6wEg9msWJrq
bqrbjt6CRMvlozUEBl9nbEeSn+DLRKu/D0glQ9N8arr4Zhrauga2GQwsrJEUOkp3TTfv+kZ3igIz
TIAhDs+ThushrJP3nrzHb6Yfl6iZt68SovHgpGekGVgxQn6xLgLsT1UBg9jtfUf4TG/STIPrEvc9
wKpqMWlQ7NrOsJQzw7qBQLIkUYEHhbS5urrG8Ztt3ev2JugJw8tRW4nAvih1DP0doLvNgaqoh1c3
To2pF9BIDcPo+fpSQ8OCNmNyPB5hxtSEnfjYq9u0w6eH0CyHu9nDig15fAP3i8nchnOTzTfbzLP4
enJvDTQBaoQR7uZzhiwPoVdXHxYOvu26788022SWwzUt5ZeEKexvuaBrZ96Ec5SO3w4zadblcl62
+HZnNNyeGFZ/87mbNljQ4I+kQ/VGoB22vksFgnh3kM5sp57aeL7B+R/oGsElajmvR5KsNYqneTjw
MU29XJZVBOpDEu2zersgZsvd2AEW+qZb2qYtWNcM0+dNJyT+okiypyqHQljYa0SKyvqvHpqp4Vuo
1rPs2wDlFfF1lCNM5rsMgoi0UB2svm9UMk876rcmTPmQj4HdcRTKDccHqj1IxvIgXhKYcVNUO8Do
JcF3qMrvrAhxqHe3hx3FS2Kv5vECVuS8aLcDPVeV9OxTTICLKOieVl2BuyhL4Ig4JLYkMon5ktMt
VOOTbsYGlOMI8p0XnXVyeKRKr3DB5mBgfeuGcd4ucdSy5U3Uhwb6u3hnzV5Y2q/NZZFwynk7koZ+
Tie4vJwmVqEVkLbBzJ/2XlfJJTTdSt7g/Yn276RIpuM+6vpxwIbJkBuAxQOoBitniKiax0rJTG9F
ylj9dgfyJSg23qrl3XSsIwjR4L2StYCMYSWKJIta/UZM6DHljarleKY7eLXyAopadE4r2vcnE1YE
X6KF+fYjs/Dghsb3dC1+UkArm7rI0iUmJ2XHMLK5OLb9U5dKqCblhwJr8UWD3EY/1hMfHkxvUXEV
Td0FRdRBFW4vsLsvebJyOn8iFrIHNzVfNc77ZAtRplMQePWc75QF822LKYTPdujnpCAxH09ib2xf
ig2p/iUOzbpcSCJkBGcSA8mziLU0PVEJeHA+0ei4ZDiM1jk3cdVNTxbQqawvFFeJfBBTtb9J96sB
6mEOej+lqYDlPBxsNhyjKDlO5mDY9le5BPWt4H08v1hZRcu73tiowBvJSL7CrHxdimpt2A3KNbhm
CrBoBnTac7N1zU0zawhrMPCqcdjS4jjmTOcDzJD4aTYhualRD3xaVULva0gpqZxn3TgVTUR4Dc1W
TfJhYB2/S9d6/4uB/dM9EqSOKo9uOrLHMSDmbbhC4hVXIDo/1DwlB2qniJm3S6AB2523pOCgkT/i
PQdkbZiXUqiRg4b8uJuUfBjWoD4L0sGaXaltvl+EzN7UKxT0TwLLGNbQdi3I1WudMZY9WF7vd3W0
ya97vXTvMypN0Yb8WcZGfYi7rM/yOtQTYCdWCvhlb2GbwX29RrW7X/6Psy9bkhvHsvyVtnxuVoMk
AAJjXfVA0tfYd0kvtJAiRIIrCHAB+PVzPLtmplPWWTVWlvkgKSLcPUgQuPfcs3hE1fkjX6LylYdO
n6faC5ljOfOs2+bN7XtTs7MHfZG+rIFInsp2BWshj6Y+CY5FlyxrmxZYuQIyeV+RDzUVfnphjHOf
LqpzAlTOcFl9ri5+AKfWuw22KcKEHknjYhxthD5GxUOdl3wJg/MSUqixIStdydlUYSFvbeDstF+g
8yevG28jnklPl+lqppqV31C5duOOTVEQHbXSil7XbmkR9lr2S5uuoTbiNZ5bTe7GeI71DjYNvocl
geXVaQgW2X4NKmQJ1xnziqmc2Lqa0pkplKJymhOVmRY1ypoWcRDHbeqZn9UPJ1g8Xi9uWLbvCKVa
UQ5Vk2BY3S2eLabTGoKhegcXnQJZ5KJV9YML0fvvhp7G3X5KsO/k6GjK5DRe6He7Memi+A6imppd
gT8bh3koHZOnELIp91OBjN3dzXYSmmRelkt1tqONCU9hKCIwHt3qqPUPaI2TCF0wKJvblbWtxb5Q
9cka3ugOj+RTg2Z1/dqwRp4o8rbRIHdr8jW0cRN86zBgRZvsBobERYDQVYbVgWIpLeYFu7s1s8uX
rjTijUPTP72KFXv7F2tHGdU5S8YA51XRs2B54utWuzINoiiJ02kqTJfJIm6jW7sJ539SyP3bD6Og
ZtuJGrGFj76tnIThABvMPTKeWeN2/QJ314NUQTTcczxl2BFJbEaB7alyCcDCqoes+VjHpFqPcVM1
pMvpZlACpC3nvIQN/ID+AxVfPWZ+0ZdaBDEu0/pQT8aU60E2ZWNeWxsMy36og0merJUzwx3b5Gry
MWrd8q2RDFokXjXSfpvWZlz2uiRdkMlmDq/UWBY8GzEIn659XdMStyRREANaoOyZ0cuIonTksJN5
nTe45EIgPRbXQxmNh7Vw4nGMI4+Y+4ltm77zbdumBtmgKURh5RwjX0zUw96vgvmsRJzqfNpiiwat
knOS2mkdAp1O87TahyRck+rngmgTsdsaQqqcr5dzNS0tMiaOBcrsawVrLqy6OOzic1Ejn/VKl354
kwIXIY+niYZtShQoD6+23eoAVaonwcFtWNcH1AFhcp5wBNTv6xqrA1qAUH4dYHGeVBmTJVGPemFV
BUvosONqTrHIWJwJ7Koe3VwA4dyWVKG6FfVKtszggX9pQtbt2kLxHo9aMZ8HAgTjBnhFzO5F73hz
XhcjvwOJ+YLSY4o4IlU4KOADMmKixz4qi2/ws6hVXnbYFFVtmptpIqjMNhiMrKc2EVWmN4/AEcg6
yFElJm5vxim27Y0pZns1az3U7wiInj6DsbE2d3OA20hd8trM9DLcaQTOdkfXV45aYsrLbUStDl7T
5NJ2Tbo9xMqSp7VeS9QGGFUuCLsTDngtdkILfGeqb1eoTJDAKC5ID4Tf5rVBMZZGDAz0E6B0aa/j
UYzBfZyAxAdSUNKXy2nhZTm1uCmzJxaK7qJWO0diUSe7WnD1UI7Iht+FUK+MP90SNUsWVECuvsGr
AWm4hglLd30V+QhLU0VPRqEfOfi+tmlUYwPV6TIbpNiV0Vz9EKyz0Wu8ztWS+c6G6HYS2i4urRfR
Bl+VCovv4lKaHIWDyvzFc/05Ne1EUe7KMUQx29FmPkpkgohMctN9DgyPbCoQ2ZEhFoTQXSup+B38
a+INF8GLHfwtC4pWBqHqexcla/JFl4GE/ljJAshgIDs4I1kNi4IcRUm3nhkfhh9t6+IQ+xyt6v4V
Tm2yziJTrfGxnqj/QOtcblemjYrPrmo3yZD/7ZfouqtWOr4EBeHsM0RkBvtAa1kBGalLdi0H02Dv
IJXPojIc13sji0RD14HZEi15Se5VwDnQbJQe5IqtMBTdy8XwKHfTRuLdwhe7pG03uyd4Iof0TRu5
PAQBtW+iSMIXcD+m7TAUEAEdgwGNsWs7t+w4FTD03epFv+GaN1d92IDWxmsEcMPjhA6noZJyzJju
uzXVQdF8gVLXpSODeEtruvIr43Rwn/DV3XC5VWI/FLBe2LXMu8OIWIlDqFtyoshkxp7Xx/a1kiXz
d7ocoB5eFvj9pGyci+lpnWHx+g0GImjOrF9p9QXQcJykfPG4DtFa19gWZBzGAyqOBPpjQaaXynEU
iTGghLJElVGzAPawyRbkBjR4tmOiBG6yIl4dOSWJ2dQh0kS/wn69bh4jMUAE7pDA8KjwQdJYLaGe
M2zbflpTA2wsvtNNldAs1vg4L8NQrMO+Hou6yiKa6PX7het6Gvq2665ckmwt3qMJ7GMT0rW9i8tk
RcHmVbwXQgfDERTKZH0AFN3vsE30/d4wVts8qpY2BF0OwbC7YSXYROCPcca9ABxRaDZotNsrSMuL
99OjDap6yXo2h+05CJZuO8B+bPsIGGKT0hbRkFflNjg8PoXA5WhWsmsknbNxnNZzPIQoOCvVX3ld
sUewl0coBODvCJwDRg0xTYovwQY6+V5AIeNfgDO5BQeRJeHHJEwZJcjAaTbAA7addX/qMaFQ36pt
tF2GOwXBu2gqVObYMduly6qx0PAvh3mRvIFFmkgyuXI9n9xAR3FIkAGOaNRi4UKlAYPt4X6V8eUh
DOqlLJGuOKJjwubT5PVm5XqaIMqQaTS4qcVjjHnX54yzszhpM5EyX+CoTcDE7CIavg4UFVq+rNJU
WUIXDq3PxH3zqjhsanICv3n1pQWgQdOun6vqhbgNu0cZBDw88yTsWNbJqI3yAWjYkg39AmgrhQjK
lXkNcSG5o3o04gGBIGpJPVyg9W72BRtSH20UFYzU4fQjMEhVSBmkHvIBWTZLcqi8XpMfHL/U+mZR
oPJrZsM2yWibNNF9W64EpskaTUGlbNc9egj4m31UW9L5lEFsvwDArPqtRKM+AXLAonYoCpHRXowI
1pa2uKkGorZTSInrb6QGTptyHa/wS9eV+SQsVtVttBU9eEkFafrjLJYguoduMuF4pky8rZj/9F7v
kd+4mj2YbrrLMFVh8/d+7WyAgMRtEqegBZzyhbTd5Q5xND55aKSuIUZFA9bdzsAPmwz6isnOKbxY
wuiK8IihuWRT0B8VeBbL9zXy0uYF58V0WLFfr7lhWje7No7FmEdIpJmadDSdr/boBlt5VVDYr4F8
2V7iwZCWNuR1paQ7FxNJRAadSClZDicGggdKFR3m2RiFDuWZLy7eULNMmh4BEgyY1o+o7VLgsGGT
QjC61fmIZdDuqZvD8TNRrGkD9A4hnWLk3cLE5KduuhZ6rgYTsgmHaYc6kWZBa+SBRzry7tSEIhav
8IzupusVrb3T+MUVrSlqEBcPdyxRrXsL8NvIIK3CKR7m/cXNGg3pIraF3s6XDvqqCIbGofgCXxYG
U74oyzvfhRbNipljjgecNsCskgyzFoZuldhO9j+UR3cNbp9POvJppiUYUQwkDA3TMEHbuCCtZjBn
K4dZ3DFsHiVKRVFvH02FacS3ul6HZk9L2gcrrq6Oe2Qxc6MeKMp9PMuRTCjba5RG42elKVtFOoUS
bs1rQmfxHAKfU4h/Af4/fZeGzs2rDuYhuB9KDHwelkujCscCL9ooS5YRvsaQzWnTnqoOcy8sEqrj
vUnQ+PAdchTn8QoKwJKt2YYZ0oBOV5lEJTlhfBJXq8Yk6RrVteDXKIuoferbujHnpIzX4RTMCGb/
FhNSkIxfarb9PHTBnLZJtAbXA4E71UMw21lhj4MNfSZRGfc7P3fC3Co7QejSMZIsz1sLSmMmiMWQ
R8VtD4sZUwbTD8GtLp7j1WLz75FvUC/bOdgQ342SFb6G7WnVZexRTyHiOgsTN81HP/QyPhqg7Ouh
bfhGXoEqMnZWDSaBmSYdCAA76ImJETnW5gZs64KoBfvRRNGcxbyrgxTP3A3X1lPMGhnsMfYkBLV6
3KsgxLyH9xjx+LRFxJpI/eg0y02VMHqc3Cy3o6YuID0s3aJ1lsD0SmSlDbMM62sWGmtfmYWr+mdS
0rm7RmGrkn3Lqlk+rStGM3lbirqEOhGEtHvV9y2/Ksq2b55WgQtz5SPR2DOZEalzs+CzRkg09xu7
r+ekK8+uNrJ5QaOniiUjM6rlMa8H0QG2pvBoUySb8TDrIIP3B/c6xxwwEXLfgA54sTBOvsLBkNgw
kxIGmN2uwyjIzicUYAYXdkpqbe5xTvcAnkHGwSgNtZv0TzEuO8RVklXN9oLpSeH2C57kvdy25BpN
NA+uoqCQKOw4gXtddBnjiehAas71oamTkV1v7QDldRj5Yfq6qlnCtKKZYR2yn0rtfJWGK2cJZpwR
SFdktGLJOIAN+61bYFl/P8B2wUb7i9VrCEzDMYS7C7PJpc5kt65N7jtzSZSbLL9lpqD9iULJux7H
Xs9xXi5e99eRhU8NIFKCeevgTTLvFUD8MA1sGAZ7zCgnlbeilGg79Wg1KqS4U/G7S5Aif1VsZe0e
YclAJ2DvVWG2j7hncfldNwNpTySG1PFEgPqON3ANMNNzC0tq1DY9o+46pIH1P/3Ian3tfRlYAHwu
EtkmUY6kwJdnzFaUtSD7jRO9mUln12zyCA49GXyEOp+3KGoycOM5ZuaUXui1i9hLMJtv2wXJwC9k
bUp7Y6Yt7M8JYu+2y91OCmgd5OSRDG8TWn8HzBfEec1EoC3MWtHPZLbHau92qKwbHJDYSC9t/mr0
eicDs8SZD4LQ4GERo4FcQrPLFZQacBUqCcPknU2WNoDdgErUx3w5Hz+SGfYJ0JKz8jQO0ocpwX7X
PsXGRBOevZJ145RqYaGqBsSEoKikIorkccQC0GvicixuoyqZ1j22UXghLm2vls+pdtpdD1vSsTfj
Zk7RvIz1fPY+2dybSDq93F08HOOj7eYi7WB2M6aoRssLWK7dgjMXA8x74b1MzraC0uAWg5IOgnfU
xhugrbEBasUQXEnZ9A7h6ihSCIuidee4boDambF6BE0iREW0IJT5sQazEeciMjbg3SgXUcjXRBMJ
pnlPMM9aDn1hxmFKFfR+NB0EeARxhtm3mT8BJJUAbwHYkOkdaMWmgpRPKF/rlGGXnYAhtgPUHilM
6tF37h3koQgH6h3l1VcorP1s0nlFiM146JaJqTpbR/iHow4l3LEwN3EFKkf+79ZMsOcNmDhgUhVP
GQEjyKaBmMYig1Fy/BLjp4OrZa1KfZLVBfst0X47fdkzaXE3RNbsgBZsM0jWQRGc/r2YHXHe0vYI
o27ncsLrYU43X7E7DKz6OecFxN//GoPp1/A57mnfDb1td0R+qekzX/41cv2vhkKsjReMa/C6sXoU
AC0U+xclNL+Gzg1wa5SFSpI9jkkCEEku5MZit7b/RMP7J4ZVGBn8kTIGKCyawEjDZCLA8zdWg5qu
ujUY4IFojQbgFC01YgESOUb3zgK6RYNVByQbAof79I8pVBdW0f/ENvqFWFZiRONUYJL9gDTTNlcQ
tdyAPDhmqNcwfsQsTvwTp4E/I1P9wgU1o8VSA6d4D0OAMXma/FDMuS5R5+YrTia4k8L+oUVV6nz/
T67wn5Asf3UnqsEPw2kSsT0XyOSYYDuzG4E1/5Nf6M9e/Rf2mUain00qycAc6b43JnxdhS7+CV38
z177F3ooyvSx02XB9h6xH2ll/EnNbfwvvvgvDLMpDKd+mDnbA4PeYZCq0iIE8viPF9SfffJf6KGF
W9TEpOL7kgQWZ/pSpGGF0/9fe/XLu/43FWfU6BjsIFyXaOvgzTtJpExuw9M/fvE/WaG/WhNxE3ar
djWWS5XI6MMCU1ozwn2EXCERdTrVM9jYR4icmP6X4vniX22KKlGuCTxb2B5xqOyNjsbe1iHg1X/8
C/2+uf4PTzf55elOah8DFirpvhOyAgIte79iuIL/Pn048VeKyhv/0tOw5wel6+d6U88hVho7FlbN
FXqVstohnfHDLTGim9MpQUn2X5/uP364/1V+Dvf/9Tns3/4Tf/8xaDT7ZTX98te/PQ8d/v/Py8/8
3+/540/87fA53L53n/bXb/rDz+B1//6++fv0/oe/7FCXT/5h/jT+8dPO7fT76+MTXr7z//eL//b5
+6s8e/3519/ePzrV52h6jPox/fb3L50+/vobvAcvrOv/+O/v8PcvX36Fv/528169m3dbTeb9f/i5
z3c7/fU3Qf4iSSQJAfkA6rPkkrW0fl6+kkR/4SwMwWkAg1ECpsB79Ug+rf76WxT9hUT4ByHiCPZI
9BIvYYf58qWQ/YWHjEkwoKKIx+h+fvs/n+8P9+j/3bN/6+fuflD9ZPHThEV/ODLw2pDr0yQET05w
+Ij+6nyAiCDhML9zOz9BwHLklzmcWy5Eua2iP8sGXnzZ1CUyzp1cNpOKchnBCCpJeCWDJFBIGatF
2vSWDV86sF/k7TKTy3f0NvoRjzwkudriU+Io+nYUv7CeaJPSVDA4rlv9wMDweQsoU+UT8eBZPMCz
pbWYKsCpIoNt3LoAR+UF+qh2NQYwiJZoyuFV3QAqBS8HY+kIWK2MOjCTPGwckmxgfXnfT2X4E37V
FGM1OKBnYzPL09iMwWPUVEF0Ozfb0uUg7lEMDFU4NneX+voaYnLwS1kL+D/szXrGYAOEN8OGpbgt
4NgO0E0AaQTxI/qCntiHhzUgbk7HJLqUfAW6U4dpNMbnztD6mi5xaLNe2KrLosaVJh8WS+H1VtYV
KA+Yee8NVgTJsTslW7YutarvMFskcOpw0QvHnPE6ILEv9xt6r/YYYKdpzsCgZ1APLkyClCcUcwUP
INmCQizoQzSFjUe7TWcAjazKp1qUoE2W0V0CI4Tr0IgK49BSf0UG6g+G3qROYQYzzOhJLkpfDKen
FMeKSCVt1RteDWfAUpr7Ap3AcGKtRl2+gZwGDRQp6WMDF4Typi+LtchglAL2E5hpsT31fgvcfh34
gNEkJ2y7oYCkg3OZhJpnZN1ocESrUr8Zsa3zAcHgxXJTGOdlxpSyUS5w4t/3zoVrBvTQ9tcAwEF8
xsx46tNh0eGRTSAHZdYrjFQJbSp91bgOdpdwjJuRe9+v/TFyYppygOjRsCu3CH+eEKXgQYOoVLH3
TbOgSfSD9TuMoaNwV0HcHKUUve+zhSV8e6xdTL9rNIAvHeDGjJfGfAy2CN0Zqw5TV9IVHhMrM00u
Z+EA7pch86ls7YRScEs2k5EA9ioo8At+rmsSf9cynN2xCsFz2lWutEuOKS7umIdV3BnwpV5SBV+A
a2xX1YNRyX3SN/zFWpi6ZlMxBqcSJhxgP6wJSS3G2m+ir8PHYK7st016fiVZc1yGCP0w6A0ieioM
5oOQ8KoJ8VGmTHgakmYYs5lo/6T6ePuAZG67WS68kQz8viq8M3OZgKkwNOi0on7Ty3EjZXcja2mm
o6MD7J9JvXRfp2Ab72SdkDEHJApYo4D5w5DBqII+jx4AWkqiDiESIhCQzTZNz67pBJc61IsYlgPz
C8rwaka75lJbdvTG6BD82bUafAuCe6e+gb0VuR06Z6z2sAyANGngMPkwVsAsBSlegw2E0y0Bjbxz
Q/8BhAUQGED/fVlQ9yYXPHajrUVyCIGufvVtiedGXxh5JbLMMkq74aon7fJsEZRSpa1vsRe0wFkV
pfG9wQTapIh+rY/zMnQ7uGGD2gBv/qg7jjCefAm7xl5heFN+Y01Uyd02wWfkoXEK+uAkrpbiAOR+
3c9RWX3H2Gj0aQ3J2pKCgDtjebTjswIedHJbQhVg7h4jwIqvMD8pEt5+aFaZcww0Jc4wst5e57Ds
f4zLsEjQpGJXHlC0Cp13TVJmSbsuO7qU6y0o7AEci6O4TpdyaNcnDR+h39nYjuYg0cKa1MhuBPQf
Ffq8gAc7H5xHV4MKjOg6b2LKm2wrsFYzZBDZN9gqJ3f9Eg2ZTFTwDRzcpH8RtQ1IvsKcGrygRpIc
YC5MDhMcg+JHF/gYGN0WHwAFYnlWb2imyfdpbkGkioZ6R1Vj9nKuxryyggfYwrs4H0KFt4QP4Hjk
FAMZlDkwmcvBlp6gBvGyfx7cHFNkQ+ptt9CxeOx8QJ5L3+CK8mhNll0PWtm6a2ldP5C5SICWkWgB
OwsIYXBFwdJ75wtmHMcShvLNDY2LLRMlthzg1nG30xEQM1g0mvm+UE0JtBfbXL6ULpywXyhYTiKs
ASsRJENgKxg9ry/Sb+OG/SpURWpx5RUcESh/aB3Atqz1fTdmELtrnXO/4INErMLwDbETOAC2BOB8
pYE0Z1WACuKkRISwXtkpvuuxm0mgqspdNZMiRyzmLTjNfVienBu0yjBlkfYYBci02E8jk0dAw+qD
Ozm+9bMZHoJlUmAOjmr70SCs06RDwiA1cPUshhxvMXXZMteYnfS0aY6WtRLEAUzkIBHgW0RTAUTk
vuijOQWC1dX3ttk8CgQTx+/wx8dBJ/peP/tB2JuBYFqY8wbZhgDssbVKpMfIdEnK7tbxQT3Golpe
Vz/Ic+NLGaNLDrbHuiMQVZUCUONNIzf/vGxEwH+sbnAcgRcx6qPjs/hMVuqPXVyGt6CTYeQ0BOvQ
plAxrGPaAy5BwvGSiDRUriruqK+dP9K51vLeC74saYAR0k0QG/mVM88e6ggWPXGtHFqO7nHupAJ3
cJuqvOhDBa81TNaKcgmOtWpJKmb3vdYtUDqNPTMitom/AfoUbVZGm3ib1Bz/tBp9UUXd8N4EG4aW
AzKvT8TBNwF7DLA4GDs/eVrPwNRmYMseHqDZ4iL1GIx9cg7HhESHJe45SIu8ytu2NimEP6XKRogH
0nkrZZsidRnThJHBxjkpAMKPW2FSUkb8kbZB13zDgKW85kuzZnyotqPrCLBvLWHAV+k1DrMLEe1Q
lwNmGSKMJoSllOtVUK0lCJ98nXZ9onyyC2uV3C5jYH4sLS0/MOmuvlbWPwchDlawF0qqMNIww145
TXNIKMiG0iMB09VgLzKovLZoOdF+4t/HoNIEFl1tBD5ZXZ9C6tkhMoV4oGj3gPSq8Lnlsf7GwsoO
t0hSW35ykfQraoMm6u74VJk2r+o14HsWbQ0wDGCiO0iBhvA40MZ9L6NSfqwQuC2vGFL36sCHcPgY
WUzMw1pAJnNxl0jkmXYYYV0rGeIylmAK+pTCk+MjLluQPyXFKPpUkJaCKo9yDmOFcOjkue/j5Wkk
GFTlClTdp1XaIT4NjnfbI1hQj4D/muHMDBIO01iu/sEnMQxx4q26CQHCHBVD+lNWOTMhgwtH1gRD
a43BbOWGLBoLPCYoxMEd30x16kQpzn0dqGMh1/iOUFj1AiZdh93k3JyBWtDuJEEAUdqgBvkwNHYv
rE+qHcIAojwBnwlV9CBeg6AvPHQAREwngclF/+57sCoP2Gjls1c1/ZhBtdRpSU1/B+7L+Do7MHvr
GCz4c9z49tpGQ9JmEAiEbxHBUJmjVru1EysPsl1KCBY7w7sD6zgF9Be5OHVe6xEGHpr+wAHZ5jiy
RIP4gyB+mwr7HpmxqDJwAVsAp+j3MVUcx7dQMR1APVYl4FFC9LtmgfL961jO5TMmcwKWoRy0OYJ6
8WkdW8cEVvIYfdnAJMnkiJn4jwlxQIjwpNiNC5BzUJO/h27j2eyrp7qJwlMQxdj5J8dieR6RTsaP
ZAuX7boJ28bvuxbM21s1LDEUPGuQ1GlA51gdI235tsefugR7XrLA7yDsRblX46z3FhY87mrexPQM
5l/PMrhIRk+qBt0oB7G9BOG/0Y/G2/IRa387bssGAUcjcMwjuXee7xXGoxlGO/oKZmTxPgpQFaiW
flLOI4sBp8EU3IianWxtffUGBBykIBnpAnxCDTZbusUEPELoBO/p6nI40uvUzbPajbxyZ9LJYQeY
GcNaC97cvCoMRe0G4n7VJkamccXY7ejk9LjCIhH5L5H6onFtT33vTIPBG5JdjyqQAc+hbVBqR3gV
NxldguBrNUF0ca4DDR7rHHfJyxovnOR9TUPQzc0y/CCtSJBWg4P2FvNNNGdDclEKWmTYPCnvinY/
KFnjFrLtK0byUKfgU/C8BoUxBLG7A9uFxtoeaGzctzEqJ4J2rKF3qorJMwpc7LDIK0SxPpvqXMSD
++yK0e8Ri9SeTFhs6rjIgd6gaRAFuPRwlKgHHSO5Ce1MjiJjSzLQCmeTbY1z31zkC51GgNIj3MVi
17WAEjNo97YpTZq4qXd4mMF1WiG8/I7Hl19bcK6A3YUEp/tC+/JYVFWr86Vq9ysZwbIEF6K7iyC5
gJ4U2Sshps8VxKboiAlmXCqo0VWhveEZmtwNbtxN9I1NOMCybZrRv4IiR0tQDlsQjgvQ2vyLKWxI
j8GErJK9ArH8Ay6u7LSAbPK1Q7JDbitmjo3GNr9FsYE203PsNdAY7EwPAkkHGlCdQn4A/Z93Mwhd
XcTtNxqMxV2ZLOzAQ1O9GiVakYPcWTX7om75w2amwZ7HISpIbmXBC+jRemSId07WmGyUCA0CTxl1
DcgZ7k5oQFEZZnPyQ8lYPMW2fAF1yrQpq7lM4TbTYeluyT5OFEEiORFnbyE6AVbZn8AI1fcYkJNc
G84hFfKsbXdwlrWPBhrWNIb+DJTlXtkf9VTxaS8jOZljMoF7hJZ9+kBI1nLnTA3WPwIPkyZlQ1ni
kHaevNNpJXmL+/ATLKztcalwwKMa5dd0rvhDrUvwYKpivQF7+KpMJJvA1ADeBTrdAvt1/sPOKHiQ
Lp2kKurXK8gRn1Q0koOtW1S8C4/ftq36wHJzuMaKpTNXHy241idbxF3eKoHrXaNCdiG/pV2gzx2z
+EDLoO8xX8YBCsXYN9QUcL7G5sefaPNOIsbg9lMwFPp9nMP3p9+FdGCnpif6CW7T5ACtKOBLWeXD
YONDqPrkY26D8FgQQyFna45bL6Dv4XNT53De6Pd1Z+InE4b+KtkEubAV+ivQN9f32egip0XTdaBY
e+KOUCiAWY9Ncv2xzRz+vX0TjpktmDhPzYiiC/rDukVUZTC+s4YLv9s4Jsd+js0R05Vw1/A4OdRg
Yx514dHuL7q5BwvW33JGmUnZ2kKuA+RRpmKdtk9fWwzVGlSQGcz2xLMHW/3aRxrjfdtT9MStyFbd
kDxCJf/ZBs4czMV3AofJlxFj8TDdBjbfWI5NdMKsq86AJrPi0A2yPMIc+jC2ojn00KekYawBfjRc
Ty8odxHw1nqrM/d7z+F0mY+WNT9FXMnT/6buTLrbRrJt/YuiFrpAMwUJNqJIilRjyRMs2ZICfd//
+vvRWfe+Sle9zHUHb/AmmWmnZQkgEBHn7L2/I5tyuY5zsrzpmbKvRUkeGVcWtPnasObWLxDiVkwd
ZgRdEm1liQHCUMwXy3T73BML5YImwlCGRFreGkTJNmZfhiuFHnk/ZNSnvWPVryRgD0R/yDpp0pFX
/Jndrs6b6YJbk8aRFjGfNi3S1zoztddQy6t11jfNaTSJoFjFbGyqG7k1a4GJ0exlaM8sHxh9ZwdY
buK7SjN8Ypj9zpycE6jacWXVjnWYpaFzkPKWNdiwOiiMTlIjD/F90yoRDGzGG9vTON4x5OmehSoJ
eGXcb4WoISCoBhGpMIkJGLp6miGkDttYG6YnJElGXLZlx/OBd/vsKse1fZXYBE8zMQasuLNfmkW2
mTtV3y0YYYzDpCdVF9BN289h1L6JxNWeJNArQa2ytM8LjGbsoKn5rYaWuHXyVONTXbRdZfP5N4Xq
AqfNEnVXTyPHkDEa14OUknPOkjo/piJ7twUXMpU6/YJuyT/xUoZb1ofyWpOW5zgUilOG7zewwhFU
MBtrr+fFWmURM7Qk9gXSkdM1KjPnVElsVX5HOdD5XkR544ejjA8wnIq9g4XlU+vMBwyi46qdxMKB
LJwfbGu2g0l0TAZkHArBpoH+kWDMC8GcvT0t9KbmcrFfbCOXb5I0ktZG7CSqjw9O3VXbmXojIIlV
xKdwkvOPJc7M5zSdtK+xYXhYj7f2ocfVmdhy6U6VmNPxGA1VxJlaRLt8yX7WUjfaQJjttOPoPX9F
bpI/pK00dvUw1EGj5fTWNehZVj8Xm8FFkfdn0M+cpBapDI7DDnMQ0yRexpVL0XLBQYHNRxY6m97/
G8HgGP8kaF5+db8rBn8SGf4/khUcT6OrTxv+/y4sbLHzN+9/EiP+56v+kBUc6x+06hkRYJNtN7Rf
qvMfsoLt/kP3oH1oho6EYJg3pNl/ywrWPxydl9yzHcOVurT5If4pKxjaP3TdMTmSWoah68gR/xtZ
4abf/R+hio4z38H1NACSnm44+u9gXM+IB7vNJifo5C0ktyzz/C0y7Olv5LY/q923b+PaluEYtufY
Btf1mxbd2lgdxtshxbbS4ftAu3ODsZ1hTUOXDluF/WT7L5/CP+WTP8klNzH4zxfm2hie6C1qGubr
35nvHg4eQjKhHTj65OU+hq8sWvVkmNg1KQPXpOjiR7d3EjAj7rUfNRyQiNfL94IW21arveSO6JNJ
6T8YAYNBkztvzsYjLqXlXp/S6m/4mb8phn/cIT5yi1XQ0xztdyR04oh0HidwDgxLyz/GYU5XLRsQ
hlWCaetEhC6NLNzsPseWj6bUlo9+cseXWTHzT5IM/FJ9nz4X2JAJ7C7l11/fTuPfnxPXduBJOTqW
AZ7Jmzb1LzowlghajjStgx6LzzFe9HRiky3NtdOO0YF2joMNUK/KQ9aZU6AJjQ1e0RHmZ3Z3EfnT
b8as8vM8RQcmW+61SFwmRbrFD4eeOtKmHfNGP9PdDqHVPGSoAD96pafbnMkg17++ll/4x98fDdfh
FTJM03L595+vxWXJ1LrelEHVZ9H9LBtOMTfKxXqC+HU3NsDkV7mpyUCU7fhR2GMZkl8oPKLgeSdp
d3ni0k9T92YjGlEk68V9ngr5Ounppm3l0WmATtCsGWj2CnUmbTzsO+bWBo1K3ipZR8Sr5SvnWfPU
EWssiluQk2mB1Wzn+7TJ7BNbXX2PZ2ihAIpG4nIGGZNNlNN/ShyaJiiB2Juwf9GI16IP124Y3K4T
2zuwRy/Hjgg5pS6r0aHJtZFmtiG8bl0SV3/963v568X97V46miktE11Sh7p2e/H/5bngcEweoJ1l
oHOmPpe4t8mJjdq9a2ClN/UvkYzTmSEvMF3IOCLm9002ftl11vzArN4dwdiiuRi14UCLyLI1mxpA
hKIgnC5Cs3ooSVnvhqFV00FV+fzh9aP+2FchsJFsEq86E7Hvq4Uw0CqrYs2flTbdu2mfbLre1v7m
wfllbfq3i3VuW4JLdJZX4beLdbWK+am8BAyEH04qN7DKcWutfcWy/iBw3G8Y50GnR8+WCzE8dTAr
iXkeW2+103H3PuNrnT+bUWk///pz+A/rq3tbZA0+AZuw+G8mkEzB2snkKAMoRcS+m/ILbvje6tJp
TVbif8Vn/7VUuZZn3KRy0yW/9ZtXpmR/GN35FheeYeNr4B9ub3HyNzSy24/8283+03f57S3N3CQm
60NWJjXj+FPj4EEhU5DnQ5iaN399+27w59+/l4dIcdtRXTgnv90+HsmkqoxaokuYxsEU+fJB5UQh
2pja1Zhall1minulj95bPDB7vVn/9Q/wH5ZXz3IszyH8Ki3+889PFs1yWdU0f+B2O8OLPtZwGsLF
+Ztd2Piz0QZHvKtzcJDSZQk3SLb8Zk9hIpLuzlliB4NsrlVrKEBDM8Mth8uEXcSLzxS1K5hDH8Ag
Vn2UifOiZ6HPfuKuExO/v9f3LTwBq7zYeCu3juo6X07XlmwuFKoI13isyEj20R6HN41a01saiNj1
Z0Kr/K9v2e/Ph3RdaVnslZbu3c5V5p9v2UIlUfd24wQ1284qJFboo92o9WKX4m8+nX+7bZ5GvIbg
hc0BBg/Ib49HtIQGOCXhBU5mq7twTsXO0ZbhoBqKJrMN+x232vubb8pR8Pe3muYpJwGOS6ysyD6/
f1wj9Z+R62MYDNn4JOOU3qFym60XTuMr0VUMWfrUXokV7snqvjlekWyccTbeE0VTs9MiKtjJZ3a9
QxDNfmir6mYTNmtmBzIKF9CUjyvjLTTat3LQqRXHEjmJrjcUUMrTjHrRGae9TAcLN0gLzAL/M80X
pK94jkguSyqnWJu1Dc09eXTLcFqrRruvDJFtnGlEfwshEZlVfunryPOLWlW8QNfZSbFPsNNZ7iNm
8f682O8ohR+FtrTnYqEXWEipXttS9GdRJ8ZmTFrkniWhhQQLy29aJ9nSJio0fp0lb9gXdIKpMcP+
vKkdPozMa7ZWZNEMyzvTeptiA6u3lj9V1fDQuNue64wTpf8M6RIEFI+FD6kn/+4A2Fn8DhVmI+s0
RUT20LYyiR8EOehk1Un6oE922COyQH8m6c+e2/TGJ8Fw95jnTruJdaWvkSRxWHj6ANJstJ18HbJL
fYeIPgb0CGH0JJg+MvtRVnG57mqM737R9xYJFHLwB9zH1iWMhnqF2hNMphZ45bQryVfB7jDJKT8R
NPdnJGJIQd7XPJr36dg/1UP/mXC6fIkNcjPmQjQBxsW3PKrv2pz6v+07TBtGrb/USWJehpQIrD9X
Zc7fleEbZBIUGcb6knvLy6R69zikDmGNqiGx3yuQIKk72SudvNi5ATGx1Rkr8NAxEgDQCR9b37gY
rsNIfblD523VErZMe3CrS5u5+mtRV9m3MTa3RQITbBMnk/tAiqa6iJSuiT8pLSLaZtQzCK+BfJ9a
uosZzv1zZQCBQ+pC3YrCalsxyekkqlrt8OyIa8pB69QnNBwSzdDWAL8cvrNdncJF9EE6TlrQW67+
LkK92WNvkScDly96Vd3tliTvLlGf/WggevxIblc4aoQ0m3B4wCyzXconTQe+BeLmjMR3DIXTbhMt
GfelnpY/ARVHT6Sxddo4jLiQvUtSsk71O+Fky7rr6m69eAv656TkxanH6JTW5bLGyKGviE4UX+R4
po0YrPkO2SA/F9L9pD30VmBg9zCLkFT1G5y53xzgfDtLkflBWM840yHo9G207N0xIRTeqG9N1X6r
PFRLvyM78yMr9e5Fuam9y706Z5b5XAYVAvGKyqe9b/KGII7X2LukIeba4FIKJLPsV7pmFy9oTuIY
81OtGd/DH06LKyvsROOrHvekwyCN2YXakka+D9vh05TqQCbMJijgYaEsNHNaJXHEHxAqehwmkvbD
NIhNyhC0c4gYFxCdpgHdzz9aV5bXrBntM7GqyucdXNAW4mGf5fJhqTTz0kc5n4lBcg/rwdjfWeTN
eKm6aBN547gCKkOco6zunQS5PjVtGmBzBJ0iXKLnzoxKfq9aDpoGC0+WUEno1CYbUDMzG0SNtqlH
yXsL3v5+INZ1ipcwu8i5HI9Y+vNAEN7EgpFspRW/1VHebnCdFGsE+pp1tVmnA6SvCXHnVKYEOmYx
YaAbE4z+LhTlmjAAiqSqH2gvEtkOKe3sjZlbL2ZY42EzVdIEUVSsdSc9i07rryqcD+gnqx471pIm
TyEOHK64Si+mNiEMz7HxoS1TBkEg4aTv4snaJq3hgOVbioTRCPa5MfB1A7FbdvVkPurhtJKFZfh9
HwKDAPyDOagPSP/8IJx/iHS5zqz0B6hG2BjFYG1H3FTbRmiPZVohW0zDsZBDeE/2OamJVVTtK106
fV3VYxF+V5Rngx9BNdnMCXgkv1qaQ4e6vTJyE75Vqk49LrhVZ4z6ivT5gixOdtAXddOvCLAXwpc0
kGlmolXDLL3j2FFuyyRJD6Uphgeho4vFWlHcRxDC76TdllfLri9RyszVMvPEe2w1JfgnjQFToRO/
hIVrIcRa8T0OmluumuGmLYiMUzEwXtLDk7ON7Cp6h+DI5AxX632Hpui1MWY8HXnl7QZyaquqSygH
sxndRpX5nl51zNIvgfY0qXbMxqrHwsHincTNpdG/SGCbhW+LuX1yOwe8pB5VDwYt9KutUvdAmvDW
0XeSg2aZc0A2NvxW4Pt6hS6DjmVk+pWgc70l4MReSG5oazVd/N2FLLKqLDA0Q+06hP41bR9HHpMI
TcV2G80PGuzG9URm7oHOTkdztS/vYX/IQze08j40wXNE4aA9GVoUXzCT3QbHje69BV6SLEiijgRF
+a/WG061k3wAZUieIplrq/jGgOARDZh+88PNZbRhrD0wDae5rS6g3gimZhXn/sWx5z3ZgsAUzV3V
n6UWB3lrF+cxA9CA08jt8H/ZYSB61zniLC2v3RJLpJg6f3UMZFni/y8z0dl1GWlsf3U3bOUNZYFf
tEu2muUVqL12fpM1bNYwC2i7Q/SKIH27ckRTPwLGsoDGMy502Dj4r/a16VQbfKnws/DWrxcr58EP
u0ZU66mwrX2iwCoWrvbNxd344PL1fj8JcSngXh2XuP6wW1yFNI1NTsBZUzyCSTrhj9w5rfVFmPFO
MejhASaMvZ7mIV2rMUr2g8l9VkRzV3Tz4Z861rFVVTAo9AQXx08TYnCnQQBfchC6dx7BsZ67DgWO
EtO+kQNjfUOSz458px2ak2V64YvTOPo1zzvtaHRjdWcqNR2naWo/WoKCuT/UUfQ0Erd+EJolPyF5
eT/dOCru0jhOAiPi6/QQFn1jF42OQbGCdCgTExTrZM7vhtc69/nQzoIMcVkEjecU16pwin1UJ8Nn
NmLm8RNTVAdFiGDbItBWvqPHcBpCziQJkBdcfZL9eqD9g4BmA0a0xgqNA4p0+GRVes+HT+rbb0cY
mTPcwoxzZm1XBG7gO2EYzV5K6U2v2GgzKFVt1uGliaIwDJLejGxYu4l3Ik0LGisV49qkGCLlHgr5
pmq2IPC42Ztt9M7Wk0LMAA3RTccx945eVlf88BqxQ84zCegJnHyAUWuxnCfCuRyZmrY6V3PUHpMh
ueKg+mE5ybc+t/pNBP7zrlGh2vX98kpekBd6wRU2R2mz682lDNBpC9+9bTcaxhVOt81S31pEROSw
ToK/dPt7VF4dZHAfbRyieXe5AFYCEy8khxeNmxDzXALobMPuSpTTzJFeyVQmB4HM+lJMy6EPP0jq
X93ReEJHfNfraO/ON9Ni+xoZlrXLlcgvNdCCXasVJPS13LnPBjft1lkZ5+tS00EslcvinXKtatYO
k4F2eSZQxJzM4JzkSgL4sukeRZuma7iKJl6wyuhPaREjt95AgO9AkF1glKPRP9ShVBdclo/hlJs4
eoriDcjHUvrNqJk7Wkvj55CAyFhyp97OUwlEsqqcHYw6BXqQbe+D+O9A8xXxQlk3oZo04ZY32a1X
XVNekL/H3aDp6q0oO91vsNoGUGeBMCvvzizS6mKnNFzwoZDSHdq42jN/e3zRGnxx1CqDWfuxkhV+
qoWaVSOOQOzWjr/4miLIYBFW63oWNhur3UTWallacZeOLtHpRLW4rPFe4cWc06AxvPx+sCIh/diG
b50lEUKpp6F3xVZpQpIzwP20nvsoJoeCwaFp+AxQpnyjYNcOtChKhF/D4+Xuva1QAhhCuFzAUq0G
Ly8+OpqOm8nstHfeYSOYzTHcpb27PIhB64PJ8XD+TfgB92bhiqMWmQwV1rB8HDNoFeeGw0dAdBhi
LzT4bR+68TpmFMghV+4z0AMczm35A2xivAVPET3iBykfFwk7o69QkWLi+BR1nn3xPEP7HmEivPap
YRwNRwt9/kr187YUfs9VGT32Y15LfjPVD00iDZ8AnPdMCKV7clL8o+u+i3+ysGSnaBin51HDs7SO
0e02On6b78Qqa64hSneRYnBt1sXqpC+KxH3DMN0yqcx9pfruFOu3cdLCUN/iqg/PFYhhXiB6LyPY
jUPOge0bnj9zATvsZXjilqoK6sESv0wOKGTOAGagj+IzncHhJbXoDE5izu9Kb2g9H7B6e0Gxc2in
LM28KzivHeyssz9HvTZuGDCI6yaP6gXiwFxEuA8NYy8d6mOwOGj1SIfF7BcxM1DrxC12UTEm39o2
b97qxNJ0LDwIB4zDXjRvzeE8ee516UGHmBF/GesAkCjPKWxclWv3dYTfRtgaRgHcC7sBl7cvTB32
2Rw1D2yTyQbCBZBtNmK1imZ3fhF6UTyLWDC8IXOZjFQtIcVh0Z1SZ7o4IXFdn2n3/a7iEgRZ4Kr4
4peWvRotjIlBOrvYmj1Ro3VMypVYnVS8hhzNKSQ0UoihMAae9U6nYappnO/43/XPrAqnYFgG46wP
OXRGwYHnFDZieCfdn7zBLCuaINRldyOPWCN20Sjqtlltctj9A5FQArbwGzVfuVBa6FUzCYqq3Nyy
qc/bybHzXWqSkXjJw7D9Gowko7Smc1jcGRZ2tRWFgRwP3gwOxV9CHWNJNqfNeBv0KcRZ+8Va0GeY
osEk5WufTzkwcde8Zovp4YqK69nPh7JzfU74ScnbLis3oM4cz1091iwFCxRuP0xjL9rkBTndrsRd
KHFdVMHcNrNx/09KQ4xOb7tlsuCIwMY/Ya0go+m1z/EgiY4IzMdj7VCnCXf6WioPryS193i3iDL/
IcGQbdoKhuNqZofFWzoO5n3u5Ms3zEztF15w+6gtUnxw6fVbH47MC2YgSHfHVsgy8K/8B/xB86kt
7ZvdjrToDe6n3dMNU6znQ84w4MHM4nWN+/AcD552giaRfP8DEeGMtfsjgfhFd52F+1utuxB9XXM8
YNRxGSMxigJr5WgTL6lxTGeVFb4iKfFeDdnNWBaXj8UQuvdhI1W6IRfwIyOa8YszYXUW4gn9zC3B
mrs0hSG5LLTA/GIR6opJNXua+qnbmFqlDjBD9TO0OkHjo+kbx++Hot3MxdLt57w2ggpvdBfkRtl8
MxMbHZ7t6wV+Zdixwkd24gPma++aJUnfiUbowTiW3Y5XVR1qt9cfoMkIGzZqB6N8gqEgVt3UhcVq
muawhbgXsUtOw3JMdJ3CgGr4hyFrd093VR2MYfps9eGzacWzRgng483W9yaQjLVbMmzbGllCySj1
L02l1B1EXe8egl38SQAVFgM4shl6uMfOkHOwJjxhwMKvLf0Gz4jb1UKS4BNEEDY2tLWv1pBj+/P2
LbBF4uf1rlNkRVjOjAHS4zLElPY2cuYMw2+2sBeDDwC3bfvlHFKCLy+yabCnpAt8J1x+8PiJg52n
0HkYoHccO9ZgyWWF67gjoI3Z3+wPQ1cv+2a0CNLX85vG34L3SkhrTWHC5N9uniA6K3daN/Py3e3p
w2Ejza03p3HH880z90owmitnG/bpL3Z7NK4yoLtkvtwMiZaIaogw4SxPQp/GFWcZ/PZZ6q5vdJAI
V/0B3hmE0a6uPuZsot2W95CwKmpdMcHXNuuxC1dhMZMFI5DJLdSxVnKkVdhJPWPEHcqW3KXGtLWb
RWxLrc3WGFzh3aveqE6tIYqNZjVMY3AMpfmsdPpjBXrkJ62MxMOm7k7aSiTTftHbK/OOowd4DX7u
iTajBuzNYxgSmkt4Dmd7hrLvuswV4BPvQL0YFqKrO/LERt6BMMfrKEznJVpsG4N8U61Sd9Fpzebk
idh77/rENo/u0Nu3abv166DbySGXeb7icFAFxjQQjwI1Q0zFG4/T6KZ4XzUxB54ZodYV1FcXB3LA
xhrG4dA4XvxTNQsbMJMqV6ZERktjVTznILaflOqXqxDKeUGvZ46CA1no5hSpzcBVWgl4mZzEGo+3
++KKmIhOlRmP8I896tk4hLLbVXt9gZdRkTVcMUgpWcF3GIqVBZ4DvzXhrO3IWXLLNp3g8nQ0/L+p
DKO1F1mK49aMezX2AFFAKE4YHAMzdvFxeHZ7VGh3Wc1tXeWbNnb6a6e72i7jeF+ymrr1SNllxIps
xigucTYnpxp+2Z1b5902KrGTj6O07yerqHdjqoP8qgEhEfymBmoBaTdhUkHzLh9gv5jP+hT6RWN8
j0v73cs8ibvQBi7Iia8O7GjJGWHf2Ktuzo52H0p4tZF2rUqoi3Vhunf5PGbHuE2fisgDgZgN0Vet
G/qj01jWU5+W4T7mCBKIengMDZICBMPG65iP2q7PGPYwsZMS6CyCViX9NRSLerSXPN8SX7U3Rk6X
mYaueRwLq99KjG04fcvCRwx5613cZZrKYEeGOYSOxtn2Fo8RSNWvjmrlY16wqVdiWt1gFatJwkOE
iOuncZXvNaPMgrphtrYTtfSGAGkQ5KI7ECw425/gzGwW9FgTcsteR+sK4MX9tNocDyVcyrPbd42E
oXnLIgpW0oL+09YKtX5TkkKr/aoz3MCQ51rWlGJdWg2rRrZMfgB2F8EpTfIqIHp5gLuPbUoEXlKc
hlj0b7knP3pXqG0vJn2Pq50/7eJW7bVmBY/y3li6naio78pOWQd4IGd6vyXawW2aR3IphdR+YMke
WZooh40xn2jnD/OBBtgzrDjaCpqzQnhYGXFMs2/oqz2W2oPC4EwtMWUfDNyIV6nZfMfBdk+aV1e+
iksmxeiGImJTuQbbgQAaJSmBFhnvHQOPoV96JP/9rkDJ4ujhHKSY0lWzUCDjQXQwxmHxdHWoguGt
nJDwZr8XeNUP+ZBaa7PEOmr200ax5q41R6UDxlL5o8wL69GuFeMzVWRETMMQhr0h9tLtsnmuLHot
ZXQnRZzaWzPX5Vsz6EK9h/wGr2dT2dS9nv4E+o7hIyNJMj+dhyDlva1W1NLB4rozs1C8ilZGE8+X
UFjhI5QswkG9V3pbxzX2zNpYK7c27mppxAiYwzjOu8FZ4vfQYf4JlS+PVBPrZfIk4iVBctTxV76r
OGQh1qXprDTSe+HBjqlPVorRNeOb5yXpxVOONPfI2XhN5x59BIE2uWfK3vLLub0aa1A4OJ1jv1fs
h7aGhMB66pEvBK17TcYhfYREz2rLulFszWShpzmGUKTgatnOW1Vk/ftcgqH8RV1qLK/PfaB5IMOo
61YGVtYN1FRjBRVG73aJZLvHRkw3IlYD1WJY4S5hKMorjeImSIyR8QhT59w5tqSHLxwfAJBktcpO
tgZADx/C2UyMfZtX75EGFBqd6yzZ31VZnE2hDm3SiUdLJ7SBBbxQF8mB5MgTF72FdVJTEWNCb5V2
78z6RwN0Gq+2Ue1IrsSoS3ONydjbDrn3fVDDVdbTqxW2E17mkGNGspj1ninEBKxUt7WKpjx5TEpc
2Q0Peh7TbAR1czPZ6P2Vvbtgh0zpkhHHzklz51SqnbAmxfShIf9cBlAsJE/a1W1STFFEcIWdkJrJ
GjRcJjaqFInK8dEDR/6s+oo5xbFJkzqT9SnBwKBl6bE1RRgwXgawshvRpGjLMMTLSyET4Eqr1zjv
l/1Qmt33WE/gKzbQBw8gCjRF1C1NOPjGyMJ1x6ab94olL4JwC4AwUd5u1khZaJQ6zAJM8/KkZYV8
rEdP56BF/zTWBOKITN4wu+rbGfy+T291OsYEQNdMBVpeZ4eqLV8hZdHZgHUbn+0mfx1H3byoRQ/V
pu3M+Xulxemu53R8tLzOZugQoRLkTMnRmnkSqzKZPe04ZUKrfcfhNuAHE8k2b1V4NmkN/aQ2pQpZ
kvAUD6qgUcH9406KyNGDUOrZMyVcvG6bZpuCjx1zXTtYnkAvaIf0Oe/qXdNX40bm40vX5lCUSvWM
gLytdNfZZWhJQb8wlkSb5yZay0bS404EUE4kRdaV+Lkj3oNjpKIyGXjQADVrzVexxKeqxj5vxTOo
4WZdjFkZ2AzzgNJokQJ1YzrwzC+ODJNBODhtQBwaFRjGOTeo8XHDMIRCxj+M3sCFS/Bu3AGral4Z
30dv1bbqvUyM+qNgFAE+KIMHZCSyGPuwFIfHDK/qtKr1Lt2lIWT0X9QyJ3LzZ2OyYR/3NOu8FeGI
hZ/LAe9V2OoS1empc3pOFkMV36GcIDkYebabGo9sQKP1DPi2GJZ9XaaY0fCOPt6Qo66xc1MNyjPA
FOQEiNGvCaviz0Vv9FWBuebRrsKBPvFUxQe5WCxh0hkemH1BkpGcbMC6IQ5ZbIBSc+vS2jcGURBQ
aGN6GjnH3A3gCwGXtxURziiCxuT/AVbrwDysx45bvhJG/5K2C3FUd3GD2B6a7ejqCcc6Rig5Fdsg
CcetbDlB+RSlxpEKrvQjEtck0ep6uRTVBxNNxCfURLFqnF7cp7cT77gY8RW/Hkk6b+hXJfDGh2RZ
7B2vkvlAGnN5sSLDCVxPSNKSC7ZfSejBWFqiHCn0VOKyrFsFY4zwOVkcywbOzmFN9KHm8xk4y216
Vumtbabo/mVzU8bqUP/G9ITqLkQFWlcpwYQiNu0rFuX4yPQh+VP3HCf06eqxeaSk6Ne9JYk3j2Rf
s6gf1/SQzLVGDN6vUtG9EnaXj8zFQo6pdB4lBRprhOV9lVi1/BId6jblqV0nLLI0qAYoyLWW0k1J
Z0aYpjJ/jPMq3fZwK77VIWtdqZkI+mOBs82fIeUy94mM/MB0K8YOVfjy24AE7k/GexhvcnDj82y0
9Ro5ERM/RkW/ZCjVysXuvjKY/MSdyspVUpjzIRIuW44qBz6dsazddzGKNzjTn2pwzKP0zAceKLr1
dJMY89klD5HQ837dJ82tcrCifDp5C9L1tqLq7bdMSGQ1i5p22PFY1xwfTVqmY+5G4Odj9ezU2m0m
lxYP2rr0APivBHcWy8Di3ReDHu6kkzc/DTX6Jj330DG7Mwi1eV9oE9PIUkFspBsT7DNRF4cXRbPo
kacr/pYydu+VmQzZ2nZgzyuYuhtA98vZZlD0qnZ66stwHpCdM117xXXZPaeLQWPKzWva4Yvu7qPG
qFfYxtSnpxZ3XUFZDcD7zY+1V1f3RV7kG3aLLCBL2N4B36qoRwnPI7/ov6rkfjWZRX0QCdWXobLs
Ts6K/F7nwaZhD2E0RMZ4rtYalhONlm6/RKl4Twn6vJgtB20mDEDxEVFLH9aJthPIkI3e2UFmTP2H
IDa4j3+BBB1jZCw1DPT7cBmnB57IjCO11bwxtCn5aXq3SV+RWh4dxxhAiFDvwFpDPsbBsKZrDMkj
4Z8pXZKnWYXQUBA33GmlDV37qE95e7LAKciT5hbDXTfrBd4lMTK6l1prV8cRCjpk+IfZjJhDI+xc
33l6lAWV3eFR0Su6ehAUnkICiSdSCBxEdIemTWaMvM+8epVqETHdJXuOmhwLicBCtbTlUZTi2SnE
p4m184nhBvWV2WPhRpRTfDvVQvIlyfeigQs8z+AcnswpHa5iHiDJJpeRVuvGIJj8SvanfZC6Ob2K
MOqCBCPKwSwhihNo6F9ZVl7tNDOPs7idD8Y8PZmpZRwgtGjbTEX5AwmwdBXKIf0YhrDd1KOhrZp8
iClVNFYHDFY7asMYWnlldNEK+4cEEN/W2wHux1uualIi3bwYP3NTcB5rK40pY5yTD0nMZLDCsr1d
DXJu3drgUVTVQ1ZnktD2v9g7k+VIkuzK/kp/AC1EbVJV2/TCZzgmxxgANiaIAGDzqDZ/fR+PzKrK
TJJNKSF70RQuSiqnQCAc7qZP77v3XO7SmkcTiLyilug+5wCcq/pjPYZwIqVtv/gBmFIEzSEsVk1S
2HeIrcklMT93h2ab8lXVtKtqkcHTyN1TrRqzLYLA3lhxqS8pKMMUW36N6DVy4szIoeztGaODc9TZ
gxefxmIdmrQ8NBLVGDLZq47jD1xKnxq1dR2xxU5Cezepc5rbyHRfN9UnJXnVKpDWvqQkcVVQTFVn
M1iGYriK2uhqVNXz1PPYgQixgSrNutKeSeMBb+Iju+5tbzMkyr7Ih/qBNN0Bx9BaiSE+zGmZr/2R
zL/PVghq5cQiS/fIPYWhOM6xDotojrnrHfp0vvIa1O/ZlmyE+JIHo6d053URfuR6SbhM9n36piBA
7SwVpddaJdmDw/7r0S+5MVZLghReVPb+X5ZKMDeyut+qrIverTj2rrkCi91CtcG+NIl5+mXO+x31
9Lv//i9Mqb/87f9+/G+FmOK+6Dh4X/9gUjxzrP5Emdp85nHyR77UP37R71kQ9Y3p/ZzngODknv//
74gp+Y2OLzcIMAo6ONM11sy/ZUH0N0jXLi1s57CHkGd36t+yIPrbOTgS4E90udG6vvPPZEGCv1oq
hSaiEXieLV0PF6r+S0ojKX02dYFzNgiy21ohmne4zaLxJR7wfeELfewtfFel20FdjYliXUKRojSr
tqMM6mmavxZZO7wD7kwuwizotwTcfaRhmBVQqzF+cTW+m6QguAX0EtvQWJ8iegQ+wdz+GJkINuMS
WNsmJRsrK6864WsKH0kac4lvbPPdrbzivUKM3Fj0FrBVzrLTXPn3WZUPl7kNSGVy5fiMjCy2Il3Y
OdIDsgnI2z5UVfACwR0oyRiRVMiaaSsta9wLgtXoxg4Dvanhgs7NAxuL+NwFi9u3RqStJyvb9H3X
PHgFCyjEnmIbjYb6hpYwAEVpzb4TwUi+YfIPxgnzLwoayiseefEPLbkAAK3vfvSQpR7T3gHwEIYU
cHkkhjbcK1TCRniy8JHJ0H7LUloWpOdjz2h0cDWiqdK6sACMRp/rpje3SJN6hdAFhYZ2VvFa2awh
RFiPqM+RTa0LCKFrVjTMidgsz+pfbi7jhjzB2tWk3FYLhsvfO5L/qz/s/+3iYb99ul3M5P9+Puz6
M4rf8/f5/V8/Fs6/8LfHQuB8Uz6f4zNkznEFR+XfHgs64LHg4+m3Ax4Bv/2bvz0W5DdcyXz2MY1L
VwGt+8djwQdKJ5CiqBTzA94C6p95LDjuX/zPGoqDp12frJj2+GLeX6z4PfOG9gslDzgHvehAk7Cc
VtrFhHnezMcfNCTnx05OU33hu7JHK5nxFcoRZMsuotToCc9pcQFxhE9uTVPitCoSCzXCH7sJCK8V
u0/YUtDix1HcFudCkBOqm3TXCg8hF1mPTjYKEyvCwmLWTKyC4eliNryrcQrHtN2GXfRofBUKdNK8
W/e9bT1C72ouda/6F7zoXChTHWxtNA7EX30v6KtkeyZu0M8HhIEaDl6GBecnrKd6hLfB1R0tJYqu
sBwFNLB59nLlx+z1zjcDnl19rgmzMteqHv9m4yTOgRw2Dmh/OQ9SM6AKTu81VogJl30+y7sxdoNH
XVFxNNrEQWudB+t0hmHH9Ci2bosKmff0uwGpXnNpdernodIjynJFy+CqwQNnwyM+J66TudhWjnbF
leMwsR1H2Hu4QnKJXFRWXnTVJFQe7kNmKvAfYx5BuSkbWiIMvsB6E1m4DLgfpt2wi+zZwFMZAsu+
W1hiz7dtpGV5x0GEh4FZJARgkFr0WcS1tpeLXhDkPoZ0WMCBooVy2PaATZedC2XhZcjJUNzBUu+c
nY1EqVc0mKJOIDpwAXQXM/S7UJphrzCnf4iKy926qItgf66ke/ZDNL5NRNs3ESLzBZXisrdG9Cny
8ldVO3MpcYV1sCY9vChsqbQEhycicwhBbJEiJAE8QC77YjJjyZ2dZGInKYPAMBim52IYMe4h65sP
txjUAZUgTvbJsCQ21hmwaETP9aOvEBt4clZy3sBe0g+5bZGID5OFJWLibxLT5Q9dNjebntvICiEt
3gPNro5CMflaJiCdn+hj387Bdl7s5TGERIaRj/phKVPQIam1T0pb3MJToprEmDNzKOHGI80thLVw
N2YjWnXnMhDSS8PUSZsl2/6m4J/vSYnkV7Qp6w1fq4XYnhdXLevGbIUXPXnk3dpfcpm20zU7Auxo
c5CkF3OUYUE7o38Lupjw70VA79DWbgMdDq8dP1uOySqEfUhcbwZvQRROrBZrpPmijdlXFOp5ShJc
RzO3G874bROI5blIh+TDd4iPt1rVD2h9hn1ET7czouVeplFDHqHzLnJr6a8xoXxWfV9znZ8dhMsp
7A6ZlaY74htW9lJbo3wYq9nO1nacqTcqgW2zFVgCLkbaC3eY3/oNio7Lke1wXRuafieattkvgRrX
7YTqWWCx3+VE0ddeG+UHLKKwVjrEANYI19IXPRl9A6/NRPkpwud+NHVaHiHfURjoNuG7Nw5h91tA
5X+Oxf8AxmpLLr7/tzPx8r0tGZ2zP5+Jv/2q3+dk/c33HZbdgfz7NPw7itX7RpGsL8jECHie4ND/
PifbDMOceYKzim+AfCf/6m8oVvsbnws7ICAHN9Wxpf5nDkRO4z+lxSTRI1I50iUMJDVgoj8nj6Tx
rVqhfWxJ89HdMt9S/fVla+Q65lYr7O6GKvtqPGyNf3iVfr9T/THTrH+FgP+YU5P0Vju2z8YUIx5/
lr+kcKPYdxe55P1Wcr39pKlerHpOR9ZL/gByzhELoMsEkqy7UgnwtsnUU84lNF5wXJn6y+MBPxHU
6jHtl5nWL5Weq0u8Kw5siITag00U+TgZELL0ycsbqjl7bq071w8JELSYtBc5qKMVdaBGKWBdVuUZ
0pMjR64m2d6OESta6bo/U4Ghi03wjrpbe412jgm9Ke/nouDpFonzB1mgV/Ok8YDD3LsgWIbVBHmE
2nHLpnPIzm6UAZPOtjhFX9HpYxRofr9wnsyeKb+4m/1qm9XpVeqm5jqreSmmgEcuYBYxTyiZCb94
hDi6xk02/HSl5T11ypBDNeAZbxMVtFd+SaWSDc5l5VDIx9PJwYdA6CqlxDWNnhPsuvfSH6YtoQKO
Tax3Nq7IOxoKvU1Ii80LDU9utM5az6IMOqMAzB0sfTtSvPAVTk4woWIDdAZE0gUfXc2lYUvdN87b
NhBPE3En/pIKdrkJaze+NxQfMqZ4Mz6/3CEjsCqIhNOjpeNLpkZUXixYVw7nwtq1fHkzJYV3S68S
HkaOV//UWBB1pWfEVWJAkvX1VJ6maIx6qm1iSKxLg1xFHgk+VE0iZF95/XQ1pLrbseUr12fVcwfL
d7ksp6F+YkhS9HPVxoo2XE6rZwdaLHWmcMPAL421tcfZGVSnyKGTFLJexk0nn/su3AxlU6w9UzM1
DShdBykE4CaM3pwauYPDmgo/coOI+1DYsDfo+Zb/bmzY+Zb2p28xKm8jTEKEFLvgBGaTLbegxNZf
9xgh1z4hpAtohCQXdFml0AMGAW3WMF+T+lLMN1VU+8/+zKpzu6SzDDdyKLGeTh0DCQ3hWFQqRJOL
sDDqXO/q19d9H3dvTenwRsoa8YKFIv4MO1X/5JVJ7k1WBrcq84HBNDOsyG0CoOgFrQtyX9InEV1Y
peutYDYPJ4zJ/C6LE9s46ekOWQNi8d7wR5ujXFI5rUNvIFGZDCn5j9i15y0pH2eHsDo/ONXi3pe2
Bto6wv9buBmeG5QoaZl+km2S0SqNxvpuCO3gzegq/t4mvHpbT7cV3uc8I4IUILkOHSkJxQg8baGk
Te9F1ZknIJi5A02rle9NkjLs1py8G9tuuaBLTIOC9U5jf1omsR/iri6ecbqFd3Jy1QsdVA5pDzcP
rY0zgvqKqCZlKreHjH6xEkG/ko23NXNPTDYi5Eeon05eszFuX7i7JNZdyusOA2kjJ+VwKac3dRsL
EuJ2POBvQNK1AUFgE6GNZBj2cRa392y9G4ilkcgvF8Aq9tkFxVMkw3kFeC8frdu55gawtjOdPcOn
BUwvBGYVmocUqDPR0hwLkaM4LM25rYXgh6JVd3AUdM6EP4+khp5PfKrTk0W/+8nplE/HXuCTTlxK
e7xLMEc/8yPFDFvLgiFT13IberJ9oHg03ni1NxKd8ou7nJEHmqiRclXLqXlxDacJDzMxv47c6N54
mPMTxaRpcW1QNukHlHmLXNsQpRlVPDXQMksXdJvzIe9c/Gt8pxZ+wD6SM6Y5nQZUTw8lj4UhpM1t
A8FyuBk7lI5ctJQ6Lbg+DRHsgK0zgHPnNenM4K+j3vfxathWyWKLxcp1GmDpps+kftJoFUgK4aD0
Fiyj9zLibfhoogX/TRGfFwoJPAxWn9R0k0bJ48VnQ93O0YUdYnIDmetmN2wNRHyqBEmILVda91gN
Mor3Jne74DhTacUw2dt8utoKVOqG/KT1PsKNDteI8y1db04Z7kzJxpj1ucL35DbQCWkDRaChxNvy
1rxxWjZqrNGwU1cgNAkL4bjF70jVjJx9w38CgT1eTS3ee7z9Bb9EL8cgHep17ejwmndS+6bIXlxb
WaueWe0UxwHnxuWCTGpxzsn8IOOZEzQr+/l7oW0eepFOxhuy85o+RIi5T5QL0rJNN3bTrEAhqI+q
lPJhOhf+JOh1eBMQp0lJ9Kr9mvsBFrR063idkHbcDkhDN7oYbdzjWGlcgkXfyyo6x0l0laxTxbET
yfMNTZbLZeHAp7QUzavkk4jX8J2/E4i56cc4XPVK+PNqYfz6QVFFfuPR0DpuqbkCT4sBnQpmp/aV
OITRLEa6oXT4LqKZdWwvubJccafJ6UCUQ/ydoJ7gB33uW0bBnriL1DZ/timM5xd3ceUjj9/6NLHK
20diml8rzucr6UQTsYDcQeXrp4ByNUMOiMpsqOLrIQUexz2P/g8SDRn2JfhO7dvYc5UnuTNASQqd
k1CGwMo8WmvNlerJ54P0E409xMCD33Q3VfneYcFdr3WFlwdeadd+LCzhwY81RvnrgMUoflojnbvE
a3pEPbvnRupk+VXDFu/VpzTxC5piEXORaNh+ApKkb7tPY2773A8nx7tYJo8cSxWF+mXGfP3O6ZLc
sYaIJx5byJ+w4nrK5DdVVxPN49qdqVsBLK1Zs93yJlYilCWvIdV6WAB6fzO5ueFDwFVtMlb63lBh
c1MN1Xc81GxaWzLRcWpT1F0YKgMZDKAQ952lhss59iTbLTce1w1UPXrEQy/d1fFEYqnglbB/8cp7
GqfwKzr6Z+N07mUZSw0dWNlRC3M0MAec0fKq92xqySCfZxMMdAipQU5AnbfZNnAMiSzbYUjAHqi6
L4BqGL6bXg391kt8hBBXRuGuH86sdY3r1mxiSIR8Ol1g2ORqCLSwm+HuuBU6BTALbNeqLvvB876P
XcM7qsCsziCUA3j32BIfWoj85GQWzXHJAW9/tRneP57TefSStCUmIav3plv5Cx0v0D+2cQIaZoVT
1ybLPBXzMWkS60eYtL2mXQgyKrYhLda1n3VvbkN2CZ0EvnVkyUquXTOnRFZcngLBr2YBGwP/Q6lr
0jLRQH0xB9UyPnGxFhzGBLoMRDNE+hVvASSoDPZWdD27wr0Xv1D5+Uhz5CpZ8qYljkmaoZOO+iAR
jw/Pw5sVZPmmbepg7Xbw9kmhxd/HyTmnXRYmtjaMwYmSxlgNYm5xtyNWrOFFwErugPjPdlS/Cn9d
dn7J0pyetzSgMTPqdLHzEsJMBPLJ9y41v9m5B6A/NwJEkm6AgqQZifuzLDGVhyjwpxRTjfbAJFrW
dixKvXNMm29VEHocuUN4AlLI3lvhKtjptvgZLI79nXei+zUmJt1ClXP5hFUqOCFgtVdpPI0oH2mu
7hd7Tqqt6IL4wZrt4trpR14/PhTP9DzzuKIKcyn32qTz99BD1Ta/ahGSxZ/mTU/Vgb2is77/YgPe
//RivCDUd51bFSqXO/i64Hbz5WqktvXCHorAGAr+qjKOh43CnVcEbYjxRg7vQvyOYxlv7H4evxIL
t1S9NFB+Fx4qq7oM6x686rnnISwjHHYhYH/n0HvuRGlhNs1HjzciQ++5JQJcICC/LCYW7HvsdznG
yia/KZjmiw0g60Fc+G3ebiNbJg/wb637al4wVCqMuWSbFo0VDtLE6OhxXQUp0B+/6UdBsa0kUJSH
A+f9THkNb2IZPFbhsLggF2YmQQ7KvAGLAKsZbnoDrTrC3kiqqKZPe2N5My+t8qonu4PyCMEmg7CU
1eJyWqZ42HaGRkcsYCb/Pvc6MATK+vgTjDzmy+ZXQUdpFYyINgUP3SoanepZ9G7+OBqhPxzyPIdx
nlFlgSOULyU3Y+rO3TZ9TzHfiR3XWP92nDM65lyrzCmx/VUVEp1bQwJ6aojllfSebIYxhHmoPUxA
HMNVc4c5nLLfruBtiIEQxznkWa45xmvFyVFJY1/mmsbP3dx64lGVrYv9Mf8sFzhjZ/gi7IjWVqFc
DYWVRgdfRjDuW1p3q25ghIy7MdDHhBrlY9hisOWx7GcXXeq3J8MeGQ9URjG271HkvBqmOt0n0NUu
Rh0RBLOq9EMqI1o8FgnFpUHr3xGeuoQQL1ZjU10UjrPcTHFGeEsWm47L15aGYFagXr5PKlxcwBOd
1ejIW8MH4DaBu4UzvAMLnZM3rRTjR0sxSIxI2GVwmFgyYXtON6AE+hUWb0HavU32ZWOXd9jui1Mx
t1AebKZGUolzG/LbzF5+VcExByDIXUTNyOjzlMpbNodmh6fjQHzZXqfMl5HJxlMpW/EsygL+sCdw
phSt+V6SHVl3CWjxgWqaLS23884H9qpiaxqhR/aStN4UXOD09ELmEyeiKgV4/SYIG1Dq6M84dRK9
bEWblzfkQYLjMpATWFdhQNaIh/enNmrfkCX5Ii+ZnaKB3Xk3lMErnaj6qPCZvTiNjD40B+ha8QIB
dqKvr/N6fHV1EhJs4Ctm1mlheaHwj9Q4yAYE9EfkYcEOISTUMtJv+OgWMY6tsOxpDLHqg5Lx8FRT
5/cW9gK4oSNm62voVWne3Ixr0BnWTutlGWqx7NuUOB9PUmfadOf4Mq1ddf5h2V17NRPHTlZDHHCA
pZMtmAZqMIw7itsBjbIMuGPbqtOdrZETe38cuOOIGj9SjyWW3YTNpLDJzmcmASvosW5NNJs4gEtZ
JjOSOda/Hjsd39prJz2sXzBIIPJOQCZDHv/O4h/8gmsCarZLotGpDFJ4rXpMum5py7eOYMtn7cM2
3nhOkM0bbXRwEQzBFBwALphoTZCOIXp0c/mpI/w/CUrOpRnNeANwDVqyEDGDaW+nxB0KD16LR+09
cT+vOnS96957nRhYVmrBIzHUeIojUi/AR2qDUysp1OzvEywfNSxNaiNWQGfFFdBZvKvduQSh03E7
7yi/635i/NDd/pec9T/66H+gjwIscoUjBcqm5C8ceHp/0AH/lang6v3jPYv/uD78N7/Ab8IpHVbn
5LgrbdgJLp4BNNDfhVPnm49mioKIfOrClvy7buqqb0IBnhKux6oQfv8/Fomug19B8WTH/ROA5vX+
qUWi9s+Lwn/ol9ZZfEWT5H9/VkxhH1SZnXXxIR9VsWMPEeDZoZszWGtSj+cNGJcfZZXAeVwcaKLz
1ZEFV8wjQXL94U4I2xXnnl9s1JS3z74V9jekcefnOi0CYhiJLusdpuKM0W1sgvuiTs2dyoQ3rVXK
ScJxQFqLB1MUWfSw4sbbGlcQSTFEf6IfgyZega0ZOjkpLfeY02X0PoRz+QPotm+2FETVezz9LWqM
nwSYjAaQlhyuUr6xpeHC6lbBNO9n0QkBmA/v9wX8IsJorBg86mdrG8NgqmVyxy7Pj9bp0jaPPpe/
BwgJE6UcPVbOaW7lqzNnxWma7NkCo+xkpC/SJccCNjdEJ5hyBRHUOaNEFvZCssbboO4n6hUYbFJ3
+JmSXuD6W3hHemuie98ivNDoxHlw/LT/LsjynVi3FvcAe+Xe6rzg4OX1sh8ont0SNVPh1YDuvWEk
a2BNyWkD6g1WJypN0aNV9vHPYJz4OWIroEUnd+TQo1KOy2VtSSbLcJgeIK4sn8lYMHaFUd28LiRO
b+Efp3Q2mZQsU+Gl0ZPyeA7jXyq6U1yTXOQknMisTjVKQx/Nwz7Lk4iSWlZVT8qW1nPDojlfyVGJ
J7xQMe0lsiG4TUhWnLSMYcnbI3XzC8lytLMsgtEcmRPERIugcV0WalvUYXCZull3lZZxyyXIbcuD
SpvEXHjYnJEAcAS+FV5mtRvf681nhEPr0R+qcVwZrwu5B6F+rnHb6euqboH4ExAAWUi3FRXTTWqC
W6rJ82bbYfICvxJwNwANQzD/elwUsST2kueSs6G03F3hLeqzTCm3JXLc+Djz05K2HNnABcE3WsA0
6Py2fkPbiV+EU1Mfdp78bwt/glzBpwbjMheVYiSspiAu8MKi+SbeL8750PN9uvxG04aOi/ge2E0D
ccbI6KUwbviVpLWaz87F8BNCanfQadPbP2lQYZSMW2kPZFJCXPv8Xl21UyCpqhO7XfuqD+Kzkprn
WEpHwow9pQZbq637ciO44f7sjWOsK9tKqmw79H3w5hHmTE9dPECV8KbQv0jHuXhqSAB9zP6SvE5R
RsauDUK6BWh/zNfA+/1dKiyyVZ5djhd1rBja41Si7yeWhOHgMLkzj1dZR0k9TBMaO8UM9n+Z9Wcw
tNLZZCagvkjl6PgDuY87GobMxSAHM4Dx7KcHCzrFDyZD8z3FG3jjTcuy83vTVWhfE3VqdRsMdxBK
zPex9Zlw/bG6XBYbIkuuBNhondZQc4ZwILUakHKxqtjbOqRWeC2Kc0k3F4r6+wwZ87K0Mx9LYCqN
S0zSqzBBRBNZs5Bou8+7clzlYNcogPHRGRFRyB2bauCyRjERW92e4A1Hb3edZ2esTLDEeleR9g23
OdPvvsELvLfrXFyomigAGM3efm1JOXx0Fj1ZW6cT8zV7UOu6V3F0HcBQJ1lVeYoUW508DMPZyJkP
0r4Qo1wOngnb+0SPw62JHInxfCytTVT15ct5C002fIx3JgxDMmY8ctbnxu4d81cOdTqomWZJkpWI
kTp9Izlf3aY58EbTRNhRg2m66M+V3z2RaA1TI8aVmGWVS0c45O+aVVEd06Y1cj2uqzp7ReBwxiO7
I3Yq/qRYhWjRPfHTmYaVwHt860KzWg9518xHy59Gsxq1cQPst2kFgM0ifi6My+I7zNPqR44r5ZHJ
lDdhI3qyftHYpG925dUvfjOOwappWiRbp/c6f+dJ1Pt1laVZSXymBeLt1KJ+pgw7ze4dXRUdPxKX
hw4W/GbDxUk4l3GK5LZhL20vW5V01rSS9TxMhzOilQgCCTz3tm7q9jpamLdWI5erbKPY/dy0jcp/
THEUf8UWF4XaiOQxckiCr4IcS8hKoWDt0wYT6zqPKrUNEa1qXB4qOXiQ7qONVTXTEUlrilfuHObH
fhwkRVc4rs2agZyUTeoMZmNHMPSo2Z5OY924y8aarYxQUiwu7A5vwKD63FtPJNGmXeO66RWyj+Uz
s3bugaE43g/TbdtPC1RZQJzExgw9LUDQWQAUBakkOtYExhpZpD+Y3MutyN3LcUpG/Oc55Uiriu/w
rq4UHr5c09VoMXGsoxno9MrQJ89GZhTJJupUdTwDZavvrL4apJvOcB/Q+87kuHxnO3/lYhlcdmc9
Ps0aUoFxGeTHGOo+Mb+0bTIsGqHPRW1ZSp5DPkA3m16r6c45N/5pMSwfOacBB3VCw3yZ60uaqab1
XISa7Kvp7suwH6ijyCmZijr36AbyHfyR3CxwKA7L6OJ+6ox5cimtIahCzgofJGmVDnPnZ5MEIXAE
zDSnnrT5LsvHflovStdHO+yKraQ3g/ogm7wYiTkqMkdIeFeL23RXZVRxNxtCgB8+D/JtOsLMg+4Y
VTPbApuuvE7aYbaOkbLpt5jZ0cIsyi6WBFuQk3r5ceKtdqVRzC+XIPEu+7jXwFHq3rwEvM82xi/1
TzmHDsSq0mtuvSLX9wj46pB2XWmvvTpkCzpZzkfAG2ZDr0l516QBG698STx08Mg7CL+rn0QpyAb3
/PgJTsYvBYYNBHAnW7hRSNbAtkrVTQkm6aeddGzy2mCsiLN19VvHcoUmFTyljWPMT1ik9UniGrsu
IVNwicvS6Mb4Rm3dipDACFSKtvW8dqk3hY35ViwucTgiAdOT9OB/kSYuos8Q3sltEVruVdrXqlij
9hB6GOvO5gDFc/IKYk9t1dDoB8s7a2iNCKNXhRZEMiQZpjcLNYYmHg+BOO3S6bkOUrmPda1uz6bb
Y0BF2Bffb3tSkZl/BEufkOtl88R4hjO8XuGO7x7p9GX9mZrRTzduRD/cSvrzDN6m1TtuWePz4km5
YwNevAcgRhFWuNjjWDLh2K3CtiuRChuX6D1PvStqxfAREOlu75LWJcHC/okajo5OJSQaAN9EEvq4
TY4EOHtoMF2LOwtgHcEtHUwy3+V2bN9A+/S+O2ocopVjyN/sEvYe9nlTErG2cFp9mURqQZXzJtMh
8QTtOaknFnfdc68P1uE8tq9jl7TphsQPmXIk0fAaNIdbbfxOxhe8Q4JlXTlJ9x6xdkU0gT57nw2K
19/gaGcXWKQ9vZ5F/kxbVnNfNzm24Zb70H2Kb3gz2ENE1kqoy8T4+taeevGZ2I0GFwUdztly7pY8
AJ0+Z5uhW/9hRvaNaV9hJFiNrYlLqleXOtnYFleYEw5FuofGwfcOsI4q1mSZV+NAG0okrIqjYrh2
EgNXkZ8CuOgpqNRe2p2+z3MHKuQSjHpZkdvxvlK2c0BIscQ9gZia3xNtiQ+t874/VOPCSZ61bdcz
rKZliZTeTPU6p1RlS5Uo+SAvj75wLCf33UJRyhzUdrJjxoQR4mlaB1XV3vW6NJtWtTyiSqPlbmZq
SzfeZDvbIEY0BFCXsaqWJnwPiHahTDNibJl6WQS25Kzz7VTLc88FEfKvvC8WZrS+vQgW/uCrBbvZ
joX+tG2xyNCKyblMteyEgt+konp3ifw4p3SI8m044OPk7yYWGDnFOmVNjn8FOIo2K95VzjosmvgU
5hnFNZmObjNRFGhVki0mNyAH9EPrjgjc0OHr6ClNPL4nu3Xr53pU2myaADM0zA7nvnUhuTDqZHKT
hw26bWotGwUIYNsCiTl0LgQQCe47WoeCCRCMdys2EZFsspKC92KdZGT7RURAN7daymMXdhOTvSx0
L9lAUD06PfahVajpmiiW9TiAVQJmGxv/IlLkCTnaWZvt8dWFx4r39M+ZHsWOWcWO7jm56cajNyW4
1GFF5VF3XubR3ujuKVTv1wOQvJ3iDNlGpKigdVAxgplULRdeSmTIEgquIqIY3nHTX/NNe0fPdcQL
c0CzhZhU7igfcy0+NPkZqAugYxUMTc7qDyjPlGb9PUYMCKyFm6PKhPhPVyXlVHcQhvOtXQeopb4O
/EtROIxTfhZuHRn+YE4N9pg/8i1l1GYLUyJ6c9qi+zFjm3LpK7LDcww5eyOUpM7pWIMnxivS41hZ
+X6xwFLMUTc9ThObgrizX3HGxnd+0vK5dCZVUnDlT1AZhvHg1Xl0KWWd8brL5KjjnD6pCejdHmKA
871pF3aMVVKR804sFv4xfo9opTwPI0AXpUyzWSJ++DxigPQQYMv44BiwCDlli4PL5bgdIGpRkZl2
mwgS0kVF9JNtfpFUjxUUOmBclTzRYuM9EDN0L5Q01qkyvrsd4YDMK5pshkeW/PgCePIS0YxQRNU0
xI989MLXWDoLj7awr8/2CGAYph8wC+SlKG5KSrWObhjLE35bpLSGWH2ycqXIrn3L7Q8x1WY3ibNM
miVDmt621O7NG18U1iYWvcJCEs1mE/Zp9zA7efKECDycAqwqP/ns2ic7boPPxsRm1wYp6SbpzEj/
1uhR3ddVTPV2ll7AWUivlRB4YcSAllF0PK/AUTqkVHWRXlCDF2/6ErBECCRjlQXWdOHUkgrf3Jsu
rZw/bKb4ImBGS4R70kGUDOVu/73lqDujrZp8JwQ4kERgXoVkrR+7uLfg/va1YyDvjXLXZLBYYteZ
rivsV/b6PLlgU1Bx+WgXNj5Nb0hPled8KS6DnMrsLgxyp9Vdzd6kns/H53bIWJjf5+yIniWHMj/L
pakIpA5V95F5VLf+C5dzIFOlmx/c2Weiydtp2lAMQvCUOIh/u3Ck9Js8SFkT/T+RGv8/qqZxIf2j
0/37wYPH9yLJ/9fN+0f/R+nw91/2D7HQP+t7TsAThEoD5LrfxUL5zbGxikgESjyW7lkS/D12YLvf
gK4HQghmX0U5DR5E81vhvUZH9B1+FS31ECCYj/4zLksFx0oD5XfIHQhHOH9h1bc0QvYSU+E2ieqT
HSInZVaDPIPhrqUC0Oqyo2em5dAbLrV/eKX+DaMl4ak/CZUkHIRQRCccXhO0Uv6gfxYsCeSAelZ0
PNkYmA9hJ5lUOrI57cRztGMpQGo8dTDaDfG+Bzhw1VW2+FnOGMCDeorpC+88g561LNPN4GtSssvk
X5btMiEnJO6xaUHyJa3BsJ4YzSOQuCdsb9R5euL4aLe1ugPo5WfXdQGMsZHyEUpQsObOyBdEy6wJ
u472rQe9T7B1NdfkqMBIJFkHQqFbdufaVuKtdFjeKCqJH23R8KisC3e5+z/snddy3Ui2bX/l/ABO
AAl/HrfDNnSiF18QFEXCJ4BM+K+/A+prqlQdVdHv96ErOkKiNjdM5sq15hwTGY+4EoE2Hn0EDVtA
Z4BJbRAcq6T2OilMGWWANdnPUXUxZSw5WSFOSkuvj8RsupcQt3+0xurBAHEcOMzKMEgdY/ZUHB2/
FVfrckSBY2T9eDKAp9mXNiajLHJ8O46SjNVXESyJmgf/5VuA7MHeFqIR9yBP0HpAKlzZMQZXjYHw
cR5yfdUlyoAHBIr5G9EmA8GSs/ldOlqjVUUVOW/NRfKjEKPG1xHMD+iIYKwepK1f+tZw90MsVn1A
dwmkcwkJtDuiryRYRAUZp2vjzevN8NpEl0CB0tN6KXvdi01R5AR+IbafsPZX03TTN+3CzSqKyxBM
VVSmXhGJYBXz521QX0nsdae0hEuHHWJ8xBiQA+sfkx1ShuWgdWDsl57bra3CfGd2jA5WNhpWvF9N
UWGEt3QIxyu2y+RQNKq5tjmj1wLkJWcdOp6+oYOj1TG9D3lzkJ50vXU1Z2PabOFM+XSKQY0dGqPk
9sO+JLe7cdb6h3LFEESRE+q787pevzBwDV78ojCvG9Z9NSXuJbBa1PHrc96xR25bRNjX9qzCx4Fk
6E1a9d1uZGq0t004N24VNgjCWnL7uIP60RdweDcumXsPAbJga0cT2UX0MoeGTnd4ri2OBDob3/Kg
t61D4wWC2XlvSmwXmkDGfWqNbnFwloVzvT0KZzhUWbbcBNK3f0gn7lCpSBQsft5hh2UO8DDasf+5
0Ch58EcdPnWdBus4s6295ZmYrhDzOo924ZkEA9RT6984cGuJhZ+GWu3iAafJwTKMNsJUlQP0o16h
nCzapD7ROR5/NPMEDG7IhbjKFeCJtyDQc7T47rzF3Mm5Oly8/IeeVHk3VnmxIxW3fNSZcI+ypvEv
M/cYkHKzdNApKjWNJIza9hftm+YnQTj5cU7c7LotSMkgyhMVZtwskstpDzdeiKnSdDNIlP1kdU/e
KMKPPLbjk1F7dG2IXNhKPY4EeurKPRYmAJod0m59DSAj3c+2VC92TA+67EfrxqwX9z1eBnkg8yD7
Esic9niF5L1khvtAoIn1Tg/Pu7P6pY/iNOYSToF+otlUR0w4zKtuSqrXNHfbZ2aY9hO8aecEjX0V
EM8ofYmGIFWv74sxarQucVDRA9VbWlyW+qDul8kltVVCbZuXgfMkKBLRTPKTr2qJoxgA5lccE31x
dGazX/YWueHLUYzGAhkNG8keZv8hmFNUIQCbKiJIejWZ28RsoSqiNgE8bxlYhia8KO88aROQCSRs
LEgY+oFSMqjZU+ChTEiBeVHEN+BJdzaqVEIAWz+86hqQoYs9W9jhHVAHK8EvOMVtYL0xOaGLo5bh
1Jp+/KJtYrFJ4RpGY5fLMTP2cQw4/gL5Kn5PUdb56E/C8QKGe0RlKDtqQ6GyeEdoBBhYhI16C11p
2McJilyZT81Np1ItzuRIhrCh5++o4qSAZsCFAZdgPEjSnD6hxQwnvXD4G32BYsvs8ZFu5mHu2p03
V/KVhx+dSrUw096i5AjtqIg7NE+920IraukFjlvYvB3kBRovSCfGxvo+NQOijg6a+oEGoES53Lfd
d0OO2sEfTtuAqbX52mb44c12ER9ZD2vJdpZwF4JTPZByrW/hRIc/NVjkG7Mldjay3c6U6FCWeNmW
S1xHczKhQeWvZZcW0VsNEsC3H5HvA/caHV56eoKwcuZc8QtUxcLEpkqXEbGClSOITQpO4TjyClqM
S++wXtDgh+VeFzPYhjhxe9ihHhbEQ/BLjF55NcJ0Ohd6h5OxfmbriYlxzxFYbutVz16syvZCoXHn
liG+WnXv9Pmmq3bVwmcJghe6mCjkgW2hXytT2+iwDlQSCDKnQHfV1Terwt5atfaa1Pd0H1a+fZsP
A4Fdqyo/aQVJYLMaWU2X9EL+woiWuc/UBgdnLrcQqFfT2Kr1BwaO7H/8ZQFwUI2sLzrRmkunxD4h
5+knxkCeW4KzMBHURai/FJHht8svkwFHBeMAcYlKKFxdCJVDYkNg1h15GnVk01K7S1frwkKP6dnq
GIPUq7EhhrmD4jmFB4R23d2mqwVC03q+RQfPaytWi0S5miWG1TaR/nJQgFRBZmOlpMhvA9NmkOq4
6jpYUir/FbE8sCH3LZnQuPmoIET6OKyGjQEJm48rAAaQ+GXoIB+TQcvq8hh9I7ufOrSVM/qESwoQ
CWoeXPO6vCefDzhuvVhbarJDtppIKGA/4Bm7uxF/SbEaTarVcsJAls/jB70D3Aj/3NUj5pTCExgK
m/TgNCBbgHXL4G5MUWxtPA1ue1f8crrUHjl1ZJgHr+xyI/I0HirqIAqhr2q1ykCFwzUTrAYaTwB1
3CCjx1czDvxCJ5FWNFWYaXLa1b36RAKEMoLWTvdBkB16ieqXdmJYZRT+KqgofmkraGutOotfmoty
cCV8TgSe40lmXsM/DeC4QzfYywfHmduLnruFzkPpEKLgJy77YdNn/UvnavEytiYyP+jKjG4oVTw6
wzDYNmYQONk+b03vY2kK/5tDPvMzbAzEue2QFecksBu05bQ5sr3SZv3UJpWe9tY48D5VcxjetbpZ
bgpTDUclfecRY2CInFzksKm84JVUB0wCk9WXdNYCD1FZDL8EaSYUdW4eCzhjCTwGGNPdQn2GhcjS
w7CICiXcmM8PSOVp9lOxC8b1c266R3Oq1VVvhKnez0ldX6V51Xx1aNtY4nOLQQ/3xWFd1aliLugx
C4CfObrkkrRjOd7KyvFKcMMGQye6vsOydxJjJjgbtYvcke/DXW/mhQuUF2FW7goKYvfAOFQ8DCpW
xrnHhmIyjhViODNMHoIDuiiKDgImzv3glwFljzlRAYO4R9LoFOcG44OmWhPBI6BC8eKnpvfCS50P
Z8tR9qVCRXy1sOgw/WSpeJpBVcnLRF5Di2hphH1ZTCuVL8hCRclK+vNlkaXxHhhtNu0gSNJ38U3K
KJSGQDm2gpPDcEAbjUmCexKqczrH8QvygvxZzURZXy1p5wUntxuTU1krKPaqNT5NC/R8EVtevTHZ
VU7zRFcUvmqav9ojGl1OCUb3wt1urtHGAvFbKrvDub1wBNGluCwO6uLQjbsr6J9lRqZKXY8M8bhP
/BKwgDxnummAzaU7xoqxxqKA+WPXhK37CEaLXuA/nMesFTzx/3QjHMdcwubAnKBCoYnsOBxH/5gy
KEXf9WXmdPCnTfpDXUJyiXxorebVDiu0DZKN1U+ZcujsjQih5dvfnwcRzfzl43EpBQ7VnelgMPzz
xxexFogcDPKQY91ujKWRV1z88vL3n/LrRPv7t1ztjsh0+BwX1/6fvuWsF1K/F6cnP6LjTDiQ8EzY
hW0ERyddaLMWQ1Ph4QnJmYfWZAjcOKhbNxbpYK/WNLun2SDPxmuq7r7A33a9XjIMYaa4McZmfhWC
gwLAyURue/ZFPPamV8f/StL7/6KufxB1obiy/rYf8/Kpu//afMrkvfxTQ+ZfP/e/ORAmSAd6Dw56
LLSHf2jIBO5/06WxEfeHiMf4L4/g/+FA+P8tyGWlSUKag1jP6P+3ISOwvYKjF4Fv+qTl+c5/hIf5
SxpdGNjrdArKDPZatsM/P56+YyQoL5jGqrQvDi1S1M2QeNmOYLoAfup8+vvXwVoD/P74Oni0pOBh
0EviioR8kT9/Xi4m6HBm6EdWoZMoEUX+6QB0+jZYstmTwYLRP154H3v+FkLveQhQGqRu/7ygst2O
g7CfCgDmw+4ffq/fe0Pr7yVwXTrm2uxy/d9MuCGLjEN5BsZBlG8dWNWdhUZq46P3FDT/w3DBKM/w
/hBnJe6P+dpVvfkfRnCuv4NtucJESGjRIvvtdygC7B5T3gdRk0HQiAsNQdmiX/73X/Xf3HGHr+oG
YEZox4Xrn/8h3NXnImOdyYPIrtGyFiPZOegOxoyxJ/rU8R8uLM/p7/fbtWlEc8dd4fAg/fnTlFCW
OaHLjULpe4cpgNnBTFf8w6esW8VvTxVJ1zQWQzKn10bDnz9FxIXVjm7sRy7BT5sWhy0pPP39UGUf
//HFQ0DsIank+wSe99sH4Qfhiq6Pb5yhCUTpjvFiISXTlnd2XvxDsue/uVMcGFbBJ/W36Zq/fdjU
o8v3teNHYOvNLZl7KCNQD+5gxpZbtOXHv/9uYr0Xv19FYQXkJ7MisE79dq8yK3AW5ScoxA1qQDXU
IUi02Lxn9OydakQBu0a23gEpvzgudU46iFnFP7ySwKxRTu19zkA3guU67OjSoKwz3ZYUFzsod667
LHedaCrGNYg72hOn6VVrVJFMoJqF80FNIbVtusXa9S6jn42Ze98Ug8l/2PStf/Oeh0C3MEyarMV/
eR5HbKKjCxE6SmQqTrlrBKd5cM2tP7hPxiwPTY6sTKrky7cBrzqiEI9j4gT/cKn/3fMKckc4cHyY
3P3O3kEa4Ug3LsOoLHvnRMTZjTS9cIOe3fvXkORj+p/ks7771937I17gr59EV5/9A3BMgMjz93ua
NmtnJw+DyI+zajutPmacm28ap+7+7x8fnsy/PrBrU58ZA6n3wIt+/fkflpYWYIfhCywGTki+ejEY
2VGx4t8J05vuPYMHQSAUSbCDkQrVoZbqArPdxvRLKaLraTyGGjDn7FOPMtBzvYeebI530CDBcfRo
E5Is0M8Poe6cq64b6kuRgrSXKp05AVt9Ph1KOqhbBFtwMSu/P5nhHBwbLHmHUMk5MloQo0oRC2C7
KrT4iyZWNxezeByNHTDNhEij657WGNGN1gTkFnXlPhkmgZQKRGlsVvk7Cqbq5AzhiByKHKYZMcGG
xBH/VLSd/wpa3rnl1J8dF+1o0q7NEh2d8s6BKWLG2ITtFp29LzElnlIGs/TF0bTUU988OkI1r6KX
zTsiNOxjKdZ1OrFtvCWlGFqqHOaDDGV5ZOSXPxhm094GZkXfcqIFRprdtMA8G+32tZmG+BpMbPyc
hgjdhqpFJDSu6DN4kN9BtLzIUkB4K+g+khuisKgoBgpVumNCfbQdozpCNiUhTA2JuLesgAk2EV7B
xXRsfbtwKsTbRoKbblUR8XVwdg4cy2hQwltb8Z50W7IVNwNq/SrsQ25mVvQrg1XEvb/tOReRMDMO
n5RMXJPRJhEwJbe2Lnvrpu1iZhOuLfoTulr9Ymk5PLvID9td5Taagagyw2fKtplBiAy7p6CsHPIJ
TEi8bYuSwnMdfKMeLCUmpciXkqCJt+3C1r8pEk7naNecuifsMQDmlMBJlgH3WyB9U2CmNK1Vr8BT
wb1lERrw8ziN635PoUhcfEZL3+20NdHqojW6HZLWxDwycJTAQWlyrGfxQC2hHDTfnKHH8HnUKASe
bZs26kAqz0fr5nwHP3Z54kNmIA8lpB+NRHWE8kyJg1BObUsU919LYs/MQTB5JTuzIzoqCkRDeA3a
gvlKAGY4L+isauwj0OTiVaSVxpMXiYUCByu3qH54tgtTGQyQsQsd1Z4UnS1iKoueuCITgA6xLsij
nASBZW0samsWVbULZHxT9BMGLrvGLTJJi983HZWNXjfovIxEV4/YX2ZDy5UYFZNgqz2noasuSSer
B1uO3bbI5gOK+JSwwnDaZxkpCZrf7TgaNezqtguP+BYq7u8EmsSbeD7KhekTw6gePVWdWM+DHfgX
e24/awvNetZjvlIYtd/CGJ4iBardngyLFFt8r4Ip09ATvLa4Y2TQjdu1ZcHVh415HfSEY9BBTk+p
VAHfFaOxrbPq3VRJfpMDBDgGtop/gj93Y+xD4/htyJnUldziB1i+5hHdSbkfZwaCBtoRh1JUfQwu
KbMi1PMxHI0qUpp8M/wG1oFWmoGrNzwgU5ivp8VyLkRM5CSBQedTfe5shubMlCC46DpoaUQuRK1p
nQTbOI+f0Mc7l1aBMSFiTVxQI4WIlDz7SSxuty+TxEa1HCtG7BiQj8J062Naddl+cjNeBTIazllh
DTuIV8MOVUl6SZrhNQhwXgQ1Mk52vXkz9sidVLzIaxKRV4e4My67msBQ/KgqJzzFKPOt0yO3nWhh
40xYbrTdpntEzMuDaH193SxF9mOCVbYxDZFv2eazqG2L6U4jqT/lZPW8km6ZbPpiCZ8gSCz7Sc3G
jiyY5ToJ89cel0hU6zUHQsaI7T2USNW9aRblqUor7zT2NhKoIkdoADSiJHviUNve+MmAo2N21xQV
Sam9Yb1OYWtfOyWakzilPdzkqL9GE7CiM1tElNlOAtwhJQ239MFYlvV4qJ2QcGyr40BheYxalRru
Y93I7KAcHyR7t+DclcbX5DHbGH33kSJpifqWPo9b8yp7lhlZlueuYUXWNTks35pMXdk5oWK+ZTQI
j4SK4li+W3UN/4JvbquCBQgjCdygaUNDdpdmi7OfBNlKdj/aN+3Yx/fSjKu9j8H/gvX32qkHuQsD
A46/7U2HcezbN+x7tAxnhm/evNx5RB0d0JLiqvSm0XuVPnp98t5mtIhxYdPRTcjMcKQxUlbNsnmi
LkMrCyD8yAA5jhQJaFuLxeYmq8gLsVojfEj5vojMx4EYXLw4K6C+wiiilzanUVz2tb/z2zo2GfSo
YiDOjyuyYUzh35Uw/Up2q0W9DGC0fwhDxHBH6GuBJMsZPR08UNTbTi9fs8iYiGVeQbu4f69AtJ/4
5xZ0tmRZ546C4+mGQMDn8p61f4d9xbrhJQQJljNPFXZYfBem3Z4FgY4bxlskdc8j00ZIyIcsA0YH
2InXeFQXJlHYJkvneRDMjJLQeLIJPsPdLdo7vCPBQS9xTupSakl6kd7Ik1toWma+0z5g8nrwM90e
a1LyNgxHzCNk1PwMVZ6oxrYHTsAsjVW+l8wa6flEQytElNSlF7GkMESiE7u6M8srUnTFHd7FbCfN
VH6vA0fvW1K2Yjyi6AZYLSYd1l9sSDR5gf8fF88cnhIQlQQnTO74qcrFdTY1PtEdk21a40sI+Bmb
wMEwgpp5JIm2OL+/aiHq8zTG1oNthe1BmfNdpobiPC8uPcLQxnZtWcbwjJwn+XKXAt8I9+a2DWZc
Bm4Lt5rEgPvFLUlbqOKfKmz7G0sayaEk1/fsBflq18/74jhhKorI5oSCTUzGvqvMby3mgK22UwF3
eJgOS4y5n1zIRJ7J8DBBUQjzYNl9B5AVciR87OLiMAFBXl312bidClJEerqRH2IS5WUF4XcH2XFF
Qi8vo1iG1slJawwcqXcpnP51JnTwmgHwzYS07qdbNT3THhuSk1Wuugdx09uMtMNY63dbe25Ume1w
qtw5KmrjWcZzUaxe/GTfylie67jK92kDRTHpveoJIUh3A3+ujkw2wSN2/bNkZvPkkHe2keQYIH8c
1M9Wjgs7N0XBRmQAP5C2jbtGsDbD805ufEyk32C7EDZqYioJKoEwyzbpsdPIGO6mVL0068CrNvqr
VAyA7uZxX6es2wvRPEx5Se6qpwCfa42LKySbb2X16KXxr8ViEf1GVs43CntXIZOLd9iVac6SfSQ2
1STxNBjZofEhLRWIV7zsyNC4O5X9zMSK4eQRITZsTWtgF7Yn59hl7hKV5Lj1oX/QtUv6szejlyOE
MDiTUp/vBBiSI/7zYTKqXdtDJOIItZMwgSJKeeLnEkayXprHUYoGj+QXdCOqcj86HFCvfoXnpDF5
m/HVQW5ajl3TPs2dDjZ6mPEM9M8BXoa7FNQ9l/Z72EGotFOD9FvoVHZxzSzlIRnYoYCI3+I1/0yK
T4U+NWozxvkM+R8ZlaREWjTnxvWvMte6NgRzlhLgylWpjCvFE3TlmGERxaMdfNQTys9EVEycky1E
iSFCjV29LPZPWnHlIRAtueljjuickABGrkQGBZXOHvs606xi8gnB2zNRhPyvfS+a+G2qSfvAxOAI
t7to5kjbvlQ56XHpUypC3MLVI+Gk36VoUaE6cMK1vLHxBm5MgcHPawZwLwOMxi6nHy+MHs2wS/8i
bQVpL2N7gJ5/D/YYbnuews8wT94474yAPE+smZsORgrz6DQ+epYYbmWYuDCUfP3ZlWVI08w9FUho
zyHph8zUxiWqxvhHYfsczDnuP3Ytdrb1kM8rC37sIwWJf6hA8CRx5SJwNMvzXJRAYOIxXUspr907
NmPHlFzcnZ6IKQ8slO+Ib66Fo6atlhO1Cp48DvejQ2YqRwQ9ZrCWXYMahi+cC6gNk+hj2AOO3C01
95tzK2EOhv9AmMGtY4/Z1hPqbUDtojvqfKCxZBIXot8QBL+xGoKYWzsEN21f23n8QgTaDYnFzoas
XTg/RmNucr9UpzRdGjZ9+WR2KKLUYGOFyJvX3ALCj6EBHFL9wzecF68EIrIo9uy50dw0VTw3wu7v
mMVUzxPN0M3suuVRjYl1dBbiEhv0CJum1fl7NvQEnBEqwZJS52dfwigAzmPsSOmktvXVm7T6IcIn
wDdFfIZmYrh1LTIt08omcs8u+y8fLcRtVk9Ud55dHmaAVwcjnDp4F+a15MxyyDn/nOG8Uxx5OKeE
ulOkkWE1C9rXtMEtJgknjmixPLR9Uh/ipsUqlNwElIe3ujWIomXtQE0ce9d1KBCU5RPnZuQc7c0i
GPCrbCoOpsfhOFiVJkW+7Hs4tAeRKaBtSCC2/uhNj6TycXSRDbWkAomA8qX+mPhSZ1/5xFhM3FJh
9c1RpEYfsd+ahNtgRUpqYu+r9ijnJUcaVYtrc25LKAh9Tv5m4Dxrq/aeg8n9jNHK74SQwMJK23wp
kfcfpZUbD00zqB/4q5K7TgXe9ZzZTF1t24gaTIjRVE3pdsT+d+P2uto7tHEYYaU+k/+MyNORap6k
XEv7T/gL4dQkZBCY4L3Ay9Hj25a2riAupk1PWBQoDyhK3+eWUjGh4/URJzgSgF/MkBIphTqOyFGY
I1OeEDnsitzsj14rXfQjBAji15i/98u848BEEAav78Ek5Om0iuH2Y+5CX62S6S4j0JNqsWjOvp8O
O6m9bymNqO1QcccXprZHMbjWYaKXUpD60CMX09k1TEV1yhkTS9y6h5AXnbNUpS51ng170uupK127
ug7HngJXlunWLSzsa0ucnhqgDRHCfC+qSvJb+Jx532dFGuHBGY4xtIVzHIQxPZca81tGNc8B7AGy
of1WyNzaelP3EzgUA6kieZMkfF/jTGNkmS0/OY6re/wMZQoA0cCsCiLsYBVquBimfhLCfeFj9Vmq
8JR6PUC5lHJYOzOqSyRbRA0RU8CNUumNMA16Q1Jpe1/1Jr2gyrDoOmYe6C5yA2VdNwfSaAiE4tDn
vPSJsnY8gs3LkLNNxwWcikD2hEKlNWerOYd3TK9CPjXGGG5VmDbvkI7s+4yB/51oCVVM51Vc5C2Z
uitE+IOpW4htpPe2jYE9CbkMeaowfrZd6EP5aHr/qtBSXaEGK/ZeOBWnYZK0RNvY27dkxEYG0RXb
RgcSX7qVnecUj+fGVbW/Cawa+rRc3hDjmMcEQehrWquJZNJc0eHwfvhTDW0EjueWAUGy15Xd3JY2
gKUC1cYVCAeQXqGdn3j8voWO15CqLZP2OCV2epUMElJdXWcXMTC/3MBEa5ZLOfXIl5zeHr7Nuen8
HHI8J2djKeZoGDE+bG1v8V8tYmGKPUFdk7tXJC9/1Txk/tZucAFepUk3Py4VcTfk3wCL3gdAI5yd
Q+LJ6+iBszfmkZPe0i2PpkicqBlKdseZAD2mJg+517Nmhqr4qOI2PeSBRf7qNCV7U2KyLnTjPsWF
vBTdAEnNUmeIihCDCvYO3tVywT9WhfvcD3CTOv6ie0yBLQJSv6yf+SD1VJWyfi3WtdOqqxvCz4oD
ZmsfnDfRY6U1pixzQSdX56l97txK7BfHr+edA5DzaLnx8DS28/JQxEP7mBVoZM0qNPejgQQEZ86M
xzuny67Lpjzi14Dm0vlZv2uRQiHOmC3WxAp5M7qWMlhpjiRBJf5o7DMfjuiGzHFylro+PrR+Qi99
bosY6xKbAeymHgGh1+oSP8/YvHsFwPf1nhSPPuvPTV8F/acimBlEDofJqOdSB1fs32lxyIS6j8HJ
mFZxj1WkisIhxZNO/3LThGZyPbr9nZNY7o5OzrCSAD2MQ8YNDXd/k8XjVg8xCy9zhIPhjnCtAKRH
/pDsGrzj256w5tAAB0pUoosFLmzxSyRwxYpWP/vwJdNdWtholIh8efc4Sh3DIRBbfGrdfgxRd5En
3t9zpIx5/yuy11IDW3Xb8FshZwLWRHXj9rip0clGtD5+koDlnFBvYtBaxud+To/t2I0RnVprA8fa
vNPoJfY2iRYbibVhW8LAJdmSqBXYNe3ZDrJ7ryOLsR6Gc+yYpHLxtICjpCu8p6vTX/s6Fz+mGtPd
rsqrCiCSOftRp0xs2Qiyu4uDwyryfReaAAKV4KeXo4HuZ9G80P5ovpHu0N0nY9C9IrTPb7nynItp
3R2sQfm31HLjljTI4FDx9u3MQXx2aaKO8GqnW5f0Q+K3wjLGXYj0FoW731wk9lN0Wqx5IO217/uH
vpAGwpCkxVVW1GHXfaFBgvFpWvEC6nKcGDtWrsQtr+0mfGIv7d2V2kk3y517jsFoINVy6sIZmICq
TEaqQVcSYuxX1x3RfU+FNxD9lwbtFd7xcReb68QFL/XbjON4KrHelSkZi7of9b0L0TSqGkjmtEV8
/mkd0r7QdPRc359oolPLQricwBncNgXLdIqCj0nPtJUKTVfjDLdQBHZomXFu2/meExAIBNV89Yt6
kt0UPslpBCCnkzn3N4nUgD+s5ZXU7pdFryy7rhCHdMhgrq9MuqZLtvWcZeekpifEQOeUlJnxrEcj
24XoGNe2e7HN0iVDwzPtqip1Dl3NqatN3PwIhprDLOnyNF6AHJ+oYAn0yRTKpoPZsStuah00ZL2h
mJVb/J4Yk/XYr3LRtF82TFWMmxqpen0wjYo+Dh2N9MH2bfdC0VefkJDV+y5Lmwe87sTe+1h58d1U
mik1DQ8v3iyYfe60LR2LBQyrOka39qiKhEOk4rRS78BEqLOBq6zbzOY8HYpAY1ZKaGuao++98r2W
QwdwYB1UIH60lwGOKCeW8i42E7wCWI7tnzOGvX5rNEaIVEdaAkVQ24ACXRfLYlhbyIUd21+OV6zg
vyAwopwZAtsb/ZIXdyr81w7r5RUTqfoaGIR/z+DTP3kCYbDpJkkDbvUXus1wkN51pQ6/D3NQU8gY
lTyZ7HAmzzYoYLr9NO3QrPFu5UONCNywHOuT6GH7qecVfo7NvPkqfHhhmy7U1S12OMGIAffissHz
XfxsyYpFfjZPR5PJCHlyLlrPIjU0+07tvc0AaG7dJi9/lP5CQl6eJLf9VDuvvWFDedJ9Ur3nbric
G5STw0aOIW2IEtIv+raKtOqQiOCHsAaUSkafY71rUHzHUXUDqVckkt8VZkw3Imh1codUmd5uahxE
GmfPJkkRX7WEwsYQKX6pkqr+bvDu7w3Nlc+5nMXJo5I8zjJbXoBKpq8yEbyaBG9134UyvHe6wM5b
qWfgBg1a29jGSudoSvjFHvy95BE5N4bjsKXU+R414fQlFqB0Bn2brTQdB519AIlxJt3p2XCr9GRP
MCDUOIbfc0tARfBhExKikUFc63MQbEaHZaBWMZxR2BikVZbt90B28Xmh1qaoXkpyLikAMStXOj0k
g/vI5iU/B9nXd55UZsSwwbBX9X+yp8zLEcgabxntnhruJAsy/w8mtJWU0YCo9wYdByxqln0AM3VT
3TEuQ5c8JfS7XPKBAGCLqiEzayTGrJhL+IdIqsutI3R+LbqxPDnjvMa3p92ZDN3mJ9pvBoO11dnt
Nrf8ctmIIEONH44mtldiRq9ZMIJm52TcOdFAY4s4Jk9iO4iWU3RdueT5yKwsqLPxO31AERi/0bAe
70wzbh/cwa8/3bYvr6Upi/PSx94XgKXgOu6a5ipxfIMUQmuwv9y+IzVMFKOzMcBZf5dIT15zpbQP
MNFXhIJnLUrFeXQAss3S9o48quEOjprzqN3WIsCnhoiyIRzWvDdU5zwnflX9lIl6tkK6olJTkQxz
A0nSB48+0XFvi7ulH+f3Soek3Ct6pz31FKo/n9b7ctQdbT0oNLo6rNAeelnNQIFheM1invO0hfaO
8RNULEje7GaeOtDCLlNX1ogEnCT5RR1gC/YvZLNudxgXIkg2lRygtAgyXSOhCwbRDebo66F1JsZW
shc32CJp2PldN29dz0/ee9XEBQBE/UoqTJPvUKOnJ+Co9X3KjQoOECSdJ82AcN6bVev/pDRyCGTJ
qvmDML+R5krZ+PkRb/9qfxJ6ng88zbmOkAKunUGlJw8DsvTe+jpEW95Q8l+S2B6fvG7d2UJvjJLF
oGtvSCs8J/78Q6liNTtxUTYcrXlPqJH4BgwTLMIr65Ytlz72xBzH/56US/lTJWNMy7JDM+3NSEUs
6wqPFYo8FTjKi2zyU5FC0sEW8EoVAw+bP3i0EAKTmTnDsdk3CbQUSG1+3e2dNKN1pq38I4Y6ePLB
sArgHh1mFWyg2b7CIv2hZh8O7uRYbP+MbuYLAZHl1hw77xVJK9tHnnB4q1RcFRBXC/tnXiKmnpUj
OeAu85qfWxGtXAwe3vRuJkmPIRCPpDwBhGdQ5jNMu/PwqsFidHp2Ex3rjyUnyYvupKFecj/9X+yd
WW/cSted/0qQex5wqiJ5kYs02XO31Bot+4aQZZnzTBaHX5+n/b35YstvbATITYDgHNgHR7K71SSr
du291rOKYFRUE1Vcf7eU4R2FZnuHFLXVZVwsjVB5m9Pa3HbteZ4HLWBWyxl/xsYjSQbUmPZtOdtU
ccCpuf7euMrCgZWnySV2xW3O3HdrAgt/jIvCQunaadMuRT+rNsztY2DJ9quAqnuvydR+0yStHaPU
TzMYj2+DsNIny4lzHSBH5dH8tZsXoljKkxZVxk1eV9p9hJHjL0KM3yUvnm6jgmLjNklH+6hBjTPd
QVneuNczPcNTTswXR1akmPd1wr5NqXqroIw/6Uqxlf5ZMGH/O7kEEhSmoFjIEN580PcspiYRDU/u
dpZRf+vJusW71jFF0BnbWyOumJAzGYNxPVXfxoUtpR0GgKIqM1bQj96yuiOs0C1oduJWJFqVAVM5
SWszUsZfYYXGpYwwVa3MAhUuDVSx7FppV4fRTpdz3yU3nQk8YxT0Bi2UWrk/jBkOs5EKmL0eV1I1
ZOa2mDLQpqiDAgkVczW0g02FIh4hCjMZG2fj0iTyLSWjyAeB3EMvZsFPK4jtKw5jSKUm1/rLR2f+
LiP0PHq20PAwvzIM/iBiK7iV+PhsqnU0lJwb9IttT3OFBpboVQPJ0jijzSDOh11pHmZgFMO88XJ8
nNxMDQImeEKRR1ARKFt3NRRynXqW2usVYbDVpB0n8FJrN88ogK003ZUpHpE/X/2rkPSD2spDeYzo
0+VX9DlX5dxPYpmEvaRWXovhv61TjjieWnJgHVN8hIt3j1ReBorN2Z/nLj6QmzK8M/Ea4A5d1Xo0
3IRREsLUjTptD3Qbf353v8v2eHM22EDTdDyUqR8+X0i9GjRCQpwyg0YVo8jIO+lh2f7lZYzfUleQ
7EFS06+PAEu78eF1agbGAKpqb8v4c87Yvh0coWM7BNOUy68mB3jWyKwmJDosseQreZ9QhE4kUjfZ
Ec2Od5vPboZshoelJvnjFhqEPq+ycNHWdqI/1n3WPf/5ozE+fjas17ohICuyBrn0fj7INGE5LDQk
uPdUR5Q1sRDA/x2d5mAaZuSOcwx59rLbiuz6z/lC94z5jw7jJ48Psz1LnKbJ/E1Azzr9eF//X6T9
F5G2ccVb/nQJ/w1rM+vi12/j+3v9s0j7X3/uX9lE9j/XkD7poVpDAfkrYpPLrV/D8gRSaYYS/ynS
Nox/UO9xA1sOasnr3fCfIm33n6vvEnE3miDHZHP0/k9c8x+c66izrxGijoNbQlJdG951OfxpreCM
GnKGJfJBjsxyim4L1yY/RUX7hVV85HypE3UGKy6lnxG6Ec42R3+OQ6mfqk7hD0k/D3V7I9tl3k6x
GnbYBi8UYuTiSCMJqoETdVMz9WlF/tK7cMoYl72MlI4eMzqeA5MOjKx9AmJ8BC23P12NfyNRvD7j
/yFc3H/7b//1xw+H5tTggaKZx9Dpww9HSzvul5mB/1SkgSGGTRZ+L9v6osu/rbkfXwmXhyFIW/IM
/rXtj14MKKGGo4oCyD+iuwTLBHIPhvSMg+oo+PMPdc19/OmncqgOJUjX62+W4Dfzuvz/dMlmmYwF
mA6kL1K9OWHjcLorr7Mq+m6MtENVARyVKgv0BuyHo4bOx0ZAolLUxJTBI+b0AXN94nzmux7Lsjhr
Aqs3J7KXSBuPlXReTQJLRC0DIauvLYh9HxMispGywcYXtatSJCNnTf1QWEO3txAz+hwepjXH9THA
ofcq1fK5aRLw+9C+8gyE/Z8/g9/F/uwgHsrlK9YCJcRH2kMISU3NFq2JynW3ccpeXEyNX8c9h9Nw
61UvdSFfNUpuEwrodIXo2ar4lmvx+5/fyG8mHGk7sNnIwMTmY7ruD1XwzxcjpvFcREAb6ckiFWua
2Vea84KvHaOxkb/lA6KEFE59nh9x9T9WYiaRJ3W2Fsb7VeGZd9bQPqQTbB/RbO3IeV3S6EsxG5sl
F/d/ebPXsu9/PQ+0MST5YzwHCE3oPbKE/HrnEGnpalk/xWtd5+ANrPPg6OOjrfSHRpPE7iWPzGn2
qSd3C4K/pNGftZj+9GATRTjFQbuknMw5C/XGNcIdeBWcibFu7b/UYL9dXd4nxi3AxPAgMLg5HxLT
RISJLkkcjVDs/KFGobkZC9iXzTjd0og+cvYgRyKlPrFlb4PXWr6oZnlATrEeAGD/+UO7fiYfPrOf
38vHUlpnJJLnTh4GYYlokQlw5hlE6EKfdM0tEru/vNyPNenj62Eeo/fClXLQPP96jUBeZGTCO15g
9RglBwLfV27fBkMxclfYDzRGzI1LXzBQlRb7TeEkFxJp9vj0vjizBTYUpSiBwwWdEa98CeHyRJ23
KdLukW5xdiQtlGI89KZNKJI7r9AHYF+oLq3l5PbIkFKarqvaKEkzVeZqNisQAOREYpAgxYTwprVt
N6e8QcATzjlgOuwtO7TWmO8FfC9Bm2lFCJC17q3l8ucL8esS++PmZTvAhMFeZTiU6L9+MDA0867q
uRALQjc8h5u0vsH/wUTi/OcX+uHp+PUSwGWFMo9nhxeyxIdtQyxgdcuQZ9pKgc2p7B3NNl54ero+
Jg0Sorv4E/jhB7uhPz7M99Zsfg6RctB5D7+0COpK0dGYIO1Ov562zce+b9EV5ds/v0/791vz1/d5
LSd/Wnv00HMik2AI8uYk/PpxQ/gMYZ5p8UJmtI41FAFHXCt4HFrMfGEqz+0Ets2tm5dooUcEnU67
kXanraepsXYW494z53MUYeaYAQp2oa800kYOjHBhGO3Kr5v+BjUmedSQIld1D5NZM2v0ER4vjMKM
+fQy51DJbBOSFKdwTvnX7Nl+2JZ29Wnq09fwqm2aQCt8Aer0TDcSWCaVw/eC2Zs/hRFNzKGJjqWs
lk0W538psX+/iah2hH2NQTb4VXw4GGe9R7lhlR65u+ENlHEWQeUnFkfJ2tz8+fL8OGF8uI2uNQeN
e5pyBkexXy8P6aLN0AH6DpS5WIdhWD4tSW0da4A6zxju7VVOiJIs53MXfY8cWsQVnQ/8mmywYw94
hLaM5KKQY2F481/e3McjonM1x0JxwtaErpk2xa/vLU+VUQiX0WFaoMOJNkyqjkvz9JdP4GOlwqsw
DGERc3gNA/LMr6/Smlk0KNKq1qnB1GVypt2M+y8IRb8lYagK5m64h+Fbv4K0fkrH+U4wogc6SL/a
ZvzWLFfLVZuUa4ADF5CO8SmH48SUybH/UlD8u3d6TavGLwltj+TPX99pD1k7R+4cBq6sWFWSYqPS
giZDjfhAx2khY2dDg/fogln784dEJf/r/uLgVpYYvhzBriw+LjbKLfqlQkofFLXzHI4OSwzMc48h
TmneqxndA6jQP7+k8e9eE9EWKmOPHRYn/a8/rVfMtK4yAaCjCbdoCA2Ef/V0qJkmBchaT1UxvMWZ
empi+zVN5Kt5RRyH2te+TYCjaFV1407l99Sx9kbl+En6+Of3Z/9Wp7jEpQKHuS7CdAp+vP+fFrZJ
a4xKN3st6NCCJSnaZxFuwpTHBaa0ZLq85Eebm2iczO+piA/DIr90yB42vQw/t81Sr1Jp36OF/p7G
8aaYkBSpCid2llxGEEww7Niq4BTRs3kjjBX83xBtVKR5+4ovL2jXD2lmNYgeu2CehmYD1P99LvTH
YbY/G5CRO/xcpJVsbEKh1uoqxv7zJ+B8NJM5rik5tkDIETw73sf6tkySntNG7ASdch7NQtwtiHIx
6mioJ6fcz72+XXciPtOQRXHNZDCvwD5h8u/WfdTd9+14b7ewiphMuJi4YTWbLRu8Q0ungDVJEktQ
eBDHDKs9RV3frzwoMUEzRnTL8UHA+z8hLxiDJAxfXVFBAY7cB2V5nw0zORuRhTTa3Lcpu0GKJmrU
gSEuw/KN/n+NGae5aYckULxRfHy3OdSUKU0hW2RkkTXiVfV9oFkW+ZTluO17tGOAqxrOIOvJyxw6
twxS7dIykbk360rTDZqC0Hb6YgoIfZ42Mf4nayKPjy8dTFG/jW10W+UvzuKtk/79L5fi4/Pp0gfk
kO5wtNMtwJi/PiuDRMzrIAoMLBOzz044O9BrwK+M6l+l3//tNsv/Q9RBjsR8XP976OB/L7/F7et/
ubSv3967+JcWyo8/+S/uoP2PA1yPtRkn+S82d0fyFVyOPCHI+fgmtvv/yR30/qGlgZPdYOdxrztP
9x/UQcP8hxkzGx9/naQ/+H/UPvmNNHF9CYNcZ6KiEctwFP317pBdrin8gf2mRajdPUDRdh8Xkknq
ABuDvAWJCdhWM6pmU8Iv2dgY7DgpRuIvPQF6p9cd+5dqA94F+znVBoMUy/3xTn9aM3WhJIlwnrmu
wHs9Zy6EjVB64V5Fhfk4ZIl3miRjYUlEewjCvK4GRP6etgbWJ3b8r2TDXAsnOhqXL+x7tI3J2YNs
x0EsKAiQvOj9HO4Xs4M6hfHuJk4TxKkp9Ja13WjmXdy19PIpnPeoQ1tfa7Sl91mdwrXWYnuzhDOv
ywhBRKwPyP1M2zFZrskbSd3ZO8ohE2C7TJX5Kd9/9RNNxr4N5fRaAbqi+27fFGBxd5CRBCqUrrde
daHnZ0HOLAqqBmw8+soGekrvJ3Kevlqcn74hFxSP6Dswos2WOvTZ2F04BXFIwWcBmTsaq6+943b7
Qar2NrZ746BXSEVl7A4bInP6S4SvJbBLk3FjStBLVe+mRCNhcZDR0wyfCYy3zfTdxvjzYnCu8iup
m0/x6GmbASXLnqhfBBvKMk9NHGkbvkXfToSZBdUYtztEe94p0qxxr+jlB6zfm3IGGdvYzXCcey25
GYipWtdjU7NHNQzkByb1m9kZsXr09ryOhOwfRYOzzEsqi4yAJn7Iy1GwFrrhup27FsGSru9q2Fv8
aM0Fmd68KqQ2nqMiSx+HcdI+jWOjkAJfvV82IrUWSPe6waPiW0urvjVF6q5lkZV3duESAhhKbTiP
ddEeksiyA0Oam24azyC7d26pHV2CZzbRpCEK151bx0pRNOtojf0FfatZ4DzVBEEPDiHJ28ziiNB1
dKnseL4mq9LTCpfM75ixd7K7APCWoLUAzSG5Z5spWlykxKQEdY/CuM6y/iVJo544tr4itTpCnFlq
2ldnaaa1q8r5pmCeHXgj91PCbbVhcpmta1S51/+S3yKMcNQQdfSJiQ+ke81Q85ld74rzqow7fbKM
y1AQZaDX2uI3tZqCEYA4XZvyln5Oi9R6WLZ11Pd3OGck9hl7uSP5JaVy1fAzWmiqSVdILtmclLeA
Q6M13GixLlFS7OMGspGImyhoiYTwldPX4MLr+jkH/sfVBJJc5lmMJrf4bo1xtDZGr3gMbYfUwJkh
O38HQ6m4kTtFkPlpiid7X4ne3ZZoRNYWbFFmscSf+dDJvXWL8dcH3lwHHM7xToPLXGcEv05bh7lp
9wOYvhmwdTosEZJnjWF9oNUTw72ymItdOuQWulOHdFR23tuk06x7NY2+XnY3hPAs6AUrcXYre95e
w8ECW0njHLnxrccis2ZEdatDYMvjccIdUQ5HXMDJ21y18Xdky4Pv5X3pG94SXo+x+u3iWBxRWfV3
1pDLQ6tUfS5Hu98vpRIbjaLxtuNtX9VL4X2EEOjVrK8SlbQXux4n4ltr5809K7NL/mrVfjGbAZ2J
k4LOjCRprzW8ZCCZdiSzvWsLiAeCgJ8QAeWM2B2FfYCJqSBesybrLYxJgROkR9U3pdJHcuqxeJ4H
KOBB3Grphswhy8dGBAUuRNPtG2XrkAvY6BZDt0Eh+DUsEiFUEj7jgA6JUkiqBVaTV5k4j3Kus5eY
vfhcGO5wp5kVnjdT79rnrqkXPzPC6Fb2xBCz+alzaMXzhjVt3kJQKg/jXMSfadYo5ZMdwHNN3gNu
KOxsm6UeywipiTdZp7jOxAHAdmivkfq9z5nMon1dls16HPry4OadeLETj75wioBphRgMyAWTUc7s
DiRXz/Xq70T0zDWNhrb/7nSgVsms7F8Kwxt2taxuy1j71BCrsiuv1RrDOMzL5PMsxLWjRgEBT7I5
YQH2ZyyTiEAkUu0Xu2jzvZfOV0XcCP9wTEh6KdB+xQjq8gCzH5C5nox7uNgj6gDwZ/a0l+msvFNd
hEb2LjXBAdIgvuqBNplF+V9r9WvHo/AaklzxXOWxdm4iSeMuhHbFI9TyaoW3jE81pkCNTSpEN6PU
S1Z42nF2xRRiRSeIVcpxkfQGkHjpiTVaPpJj6xDVLYHrk3tFS5ZlR6LDLL8bsynu2Qo7dz86aZ7e
9V0HFxQtw8PQNpQExgAl1jIaU9woGH/f4ahZOiG2jvxUNpP1No/uvEcdJLZzouRRAqZ5x09NfyA0
9XSnuYY4halNYIvWjJgIYyHP5cSnmmW5s8UkjSi40xp5TzZT8xnKWXNvs1rTDm2aHWMItSHLxRSb
OotduWJoPJ2tJbR2tkgiDtbULqMdOqseofAz8Ibcve2M0EkPKrvX0OEesdV0K9vO0FcjCcUe4emN
/qny2uQz+RWDuWrrZMHXiiTFWifVIL5IHcLAbYrD8ypkLJEgdbmrr3NDw/65mJ5xZ5T4bjRDi+7i
UYwveVsbT5Y2Wg9VbzCGMjqxMa2pQvSpRU8llNM9VQ0jUKn4K6i1RnIzSrK+czJjtg39pSONPJfA
Z1e7EzQttwatFx8vXfXuJBMNUwWh2MfdqZ7aycBblKVNSah7mU03BKiZ/XpZZtNawQuBdIgOD3WJ
MQ4BbOB92FXT19jRxqBq5/gTBq/u7FhR4RNHa/hg5Sxf8QH7i2L/LNKGOK6JvCsC2m+HPpdB28Ce
8C0g8NRi7naaUhwNZZEVHWL1sOqnI0RJzWZOMg7mjk7HMh66Ko0PlDO0SEwjjR8pG+Sj3Q1oslFp
cmryUse4ZIStrDC/cSssFdL3tLXae/7URqQztvZhwr+PxDfAhuQcR/JI1nFFdDK2EORVNfjoVZiK
eW+kZr8JM/iRIra8TdlcuRNI47ZhtUS3apnFpre5R+24dU9SQ/6ZRMSfYJyr7XdsOFNbvkh9eGUo
syIv7WA6L60aOS7lKrzGeGndV+rLatMboma+DiXokwZ94pK3Sbq2MvIigpxxz02lsVkStTPINOgy
b8usArN25uXbFOfnDlmm3JLy4gYcEFVzUyUstq4YyA8eCghPREHMl27S8atWgGzPEuX8JRbkJK2U
lafHJPOyRzUgzzVzXd8K1eX7tBPpRcWx1a3TuprflVnkDjltY/rJ7b0wKDWRIglOO8fyU6KvGVQS
MUVHs3DNaT2VnZ6GK6FatlrFSGrvdmSep0lN2FQI7H9H1BQR4lVbb2RDfAfRa/oNoPCG9JMhe54q
GPoHFSkgsSMJtzsvJM9hl8KhPDEdGa5CXEBKDNV8iVZop9BVfWXCYV3s0eyoq7tZf2C1iQU37kBg
QcykK2j7cE20iTpkKCvaDGWek+Vrih5MlUQfnxDldCtSUoiKH8O+2yrZawc3JYucedptg1KKYOfF
zN+H0iHDg1WR3b9HjtZONqeHYQ7nACl5eXbyhOpNU/ozGiHvwgbXHCt9BJjtaf2GcdmwsSeTe2Kq
wu8il/k6MyznljabSQHtDLhbR5JBpqTWnjW5sIbMU4jk26tLfZsheF6TydbcL6NEAjn1pnXThqR7
JN4yvYo0D+/QB9qowjRwSb2gLDMQ8A95997adeHDrWgCRxg1O2cUUnQCABLGeBO2FAXJaB0trtCa
bESSyqRePdWmY68lG80qr/EfF0nonOc4j5+Nob1pTAlpAtn6Nq9MkO4dh5tTK6LsKLPWYSExc8Je
OGMEXgT8R8dneWdPAh1qXh7zKn+SZvFONvBtr/AjZkZM+NWU6SRvk1mnJS47U9r5lYPsUBr9cktn
uACr2g63FdUXWeBhdIqXLN5JN8IVZ3zNxmzV971NfDAi3Wiad5Zmx5ylljHAHlRsDDakCJ7FTDo2
oICdTAZgHiYK1ng/JQIypMS/Gh2zJZHnyImMY+lCns1S8mr9pRagKgxFaNFUfHPHJjLw1I6PNQ8T
nZkIWoCL3FBvsiTAXJzdIbuX+7CN7KPbD/adbRTuQem1WvcGCcSOBjY95Gk/DrOD8NOqWoMStLzm
rOQoXGZuDW1q86AS0y7MpdxmxBW5Wb/VY2hpbrzVHcLz1OyPpcgDqo7kEJIz4bdmOh1bEgGCWbI3
YU6ohr3hFBgbtdRaRbBn6aVmrc3MaNrZSbNriPjcL7ZyMTsii4wwgu/DpWD9U4pLHSIG9ONi1tbI
tbRjHDXei479YAvA1/jUupTsXhPlhxo/KDlCRnTONWGvxeip3QIA/AusJOuTdJb6ngoYV1WYqOes
DKu9VdbavaEGcZ8tTcZaKVxsCRCGTm2fxue4aAhXpmh7MwyDI7RRW9c4s+obUBjsuHZ/mpoUD3Ao
glkPv+oTe581E4meCQKItccmHbSjOSu5qkev22kQpveTOXjnUY7egxuSlYKtK0X4TAGrnNJad4wf
A+HUJ/gB+JKTKpB6iAHE5hSpF/epmjLqhLJ9NQgACwrNCn2E5doetPVuyhbtoFuMdgCd9De913cH
x8vuRYU30MXLadrtTUXWCzCYIdNxoxI338vPWQyHddSNXRZPD66HW1or7hnbYhQ0rtuSjNDUVsqn
NPzURt4LppDABNbd0tjw8zYjGd0t43vCiYqd19NzZJspT3Y2mtzHbbX33OzoAmo7RJO9HGUba2tH
uPmuIBTPnjNMb2mck5hQJvuxz6OtpYaHKyp+hasBqQARo8GiSCvh5qjkHsgYg/C4yN4sM61O2eCk
i0/EvAzSgTUSV+EuhnMewOHRt5FXhJsqc8LjlDMl1byo23kGJ33SeVLM4+j2rxOQYOlctUeBS663
szeG+GgUIM8s5O2kz4inunb6k04f/ilJbbz3req9tTBnNkacV+DuM2LiB99NB7FBqF4/Y0HMQVhz
RFnkNRVo8epjXAGZQQF9yYi2SxmzgVGS69hMD33RvJeTaM/4NLGBRa5erlngD3rtBk1rFBtaTPU+
ZTCED3rKAjNr5/OCYD2QTHneLH4+sD8DqRFOOV0NEm6zV6gKLtNQik0I1SgA+YoNJ6/XqqHvLlXv
DxZA3MyoXiyp6feIH1ABmZM33xW6cExcMbLd9MgBtmNSYtammbzXMycDnDZ62OY0YPt1K05FaaNS
quV4cubQPSmrIsQCU+2CF8TCa94tDjDFB2yHQRJbF+jfe5TQX5lev5MPBZZZrysKcbMBFCgkHsfO
aKsN26YGwQbyIoJBnW5zMd4MmTI4ZYPaYufaZYbYGehfR1vR6HZBjHjFznUrHiinWLPbvssRZGop
vG3n0CDWjKNwsZ5Ra20apT4P5ggfd7KsbN+wHTyALZxvCBH6PFjm4regI6zEE7dFOvWvmrDqHV9f
lRlli8MBYm81nMYoUbQHfLLnymqCOkWSiD1VnhqzhTolzBcWcLzueiMAQhVGoKE7D9zZeC4cPAOp
dFtc6PGGGtpvMVnPVf8OVMoksmCqVp6DlTkbXPzlhcRHY+5lnOyLbPLjsXhsZEJ5KUY/aYiGa9jA
N0UIGbqwtnk5v2i1a/P04DRLxqvVPye7+YFDdrfJ7eSchgpPs9Ffxjan1LOS+BJ31lNaYUd1JksF
pJFQLwIB3DA+JOe8SzYT9AXfTgB2TNKwbyaYOYFLKhscMogUIGHWZkcQRnsl4QhDHezsRFD9sR6T
hMexfBiY2w2qPIReR4BUN9zIBY9l0A2DFwyVUTxG0KFevLI/pEtHyBgHjlVRTzvZ5NMWbbYJphy9
7z7pu2GjZYSdakZs7rLOUJdmUdGXKDNanyf0lSP/o4W0ebwgaoYM942YwOgRaEq1Nyh99zGdoWuG
xEmTRNLh4sYeNjnQeU1QSOU43EYF7ZZhqOpnywBfkaUzJrFEc621UUP5LnuYOU091yfToWPGsSHc
KAwbD0sMxyDUF+KXSGShl2nKZi9lOuCdQkhUIgDVkIStvDGduFBY92ozTNaO6cxkl9ZW8qTEZN9w
n61NkF+zDLsTabO4JVOdrtd+SU0XU/nUvXSdre2RtyfrCocjHr/FeauXsNtBqXvwwvShMKt461TE
XbdenT1rRKUEDRPrwSp5Xwn2hAz0aEC09bCO2Oepk5lhpTHOIzOv75EMqNVCnTADyIlWutaUe3Dk
td+M42dRIS+YWcX3Monsc64DqIwUqTHkz2d1Q3o912w3TpbLrKoW+FgcWTuBSPm+0KIJFZcxHapG
fHNodREcOpuXUqbTXdpFjQGNiH44lNyRTioWOdOMPmWLyE6dW5UHDDdTve6SFOWYFnZYC4kiSLdj
FmdfyE3pt31miU1FpUlBlQ1BYbMjJ4vepqvWwRHBujDnxpnpnopOSs7HUqTac2gCoU9rjh7rTjOM
R08IY16ZbpYhz6iK9DR1lGROWBs7NRr6cXIiIg2LsliQHs3SgVlEPkIYgRDij1hrnTTFE2d58xnq
jdgbvWy+d3FN6Rja3YmpGC0czdIhNAnYX5KIugbWwLaBfOeCSG8MEhEHdl5A0eKkqz5oKf4sxpHt
KqVLcSL02HwYCjM65LNpPrLwl7fIJ4h3jRpcWXrbNFszLaxmM+mAwRA01JPP4b9m63MWf7YbjJG4
oeiEVbMZv7qS9QLPy5g9YVo4Dx4zS2cey0vaVNI3Jvs99HTrq24Z+EDgTobfwjwpHilDPqeewCmZ
tXfm0D2aRAoF6trwGpZxh8Sz3mTUzsdp0rldBY0vV5ZqN2lL+VoLGDNubac+dA99TbwYdxHtQeLu
suWiDwqbs57jbJ1J/tssmdnzaNk06CR6vqJyNhUW5hs3s2CaNRMm37h/UjNGYN1sP5E/iVAqwTqD
50neLITh3M9a13yxI8yeyMSccWuJwW58NHSYjQQHmyh8jGPP2yP7pdwZALW4w3FK0pQFb0oPs+l8
Tyj/V1Za9EFGC4qVYBK1rwbXezTygs2kW7IpGHqjPBGgcRkcyF2R9O5isnt88N6wSXrzDagQNyPp
UeepoDYmF946EgWrvSoZReuw8r54veHuZA0jlSrJ9mdCgFk8ECYyIsrT/aRMY8euy9HYPCRUTU9p
bogb0+D2Kx2ocMPkajsOdiMktvyuT5jITgymNg4JtQaFeuf2MHAWupJrJDDdHsiBdqPmyaOJYT/G
teTlsoLxSkteKbYAxeiYCEz8+Ssrr31Uhrfa0ugnSKeg2UKRHgw34lCcZR6dIZkd+3K6N0ym72EL
bcsZR8bBofeAN80+xmX5wNgYz70YN61yvDVJqI9Vnt4QloBqXiJbghuFF2fJEEj7gujIHQbFfkMa
J8Mkpon86L2nWJOx0FdHr7LI60x1YGLVPCLxNSQLMoya+ongIvkNwBFdywqYDYXFwuUVHXIClqHZ
rSuS3ZcM5yTL4rmPu/DSLstymBnyn10P/GhWp08ikneyI3FksL1XmRqQFqKTS7d7awt0hu1s3TEe
z45JPPgtRMykaJ/nIX0RwJxWdVejBoQIoWV3ITFjwcKA5aGF2+GbkATuLb1qjzjyyG6NZPwscBnv
snakpJm6KgB+AhbPcIImru2149batoBmFw13E7OmczTGKVauZXwt8P6FEJBqyu6+pfcyCJ6AqBQn
YzCZi+ES1Nf4qw+Rsl0EsO0echryARuv4tbF1MtphWoBjM7MdoJ1rfR1Yeu0HCX2swYkBOEnhfms
Iz25FkC12AN2Lr8a9Bp4fgazOvGXpgdCnZ56lxZVrpmbivXt7M156vgaKKm3JaMwYz8c75KRRJ6o
LvGjem2vv8BF1R4591unhVv5eSpzBSbMCEmdGuLulnUBQHg02PkX/G7qLXZ6znU0DTzFUCjLxHLs
0D5ndG/t4VmgkL9V2sRjPGdcBGZMY3wTLiNy36VPKDNJI/Yec0N2+3iqFpYrAAGfR1RAT0NsxOUW
v7E4lxH6CjqZNvo6Rm/5bSRcrfStfAJ/tEQFWhUQsXaNp9VJiIwc2z3jKMo47JPJhhM1AbZDkSwr
WdUm32sCaPCyUb2kTvkGDEgjf7x/41hO5miTQAPRG/Mtp+Bj4LbQsFppKS2RbtDdozL7hJWi4p9g
qMvuPONYo6TUxQs+JZ4lvqx3Z82S3VeL7A7H78ywImxECYy1VrVZlC33bhjJM1NW8s8AAtMeYybc
yhFpdpKLu4GEAZ52J+JGaRyu3hBLa6dpIcRPphs+OA/v2ukqV5SKCkA+sn0c/qbvENW606f2Xk42
Y8g8BGWX2kIDjZrm516T0wOdtXjTVIW/LKTh+eRkFIT/ZPIKWlpScBSORMbsGKH4WoFyUWs715tD
p+XFk9mTQ0ZsQ7Fzpty6zUct63wndEdG0ablW+SCDMo2fN2KwP+0U7JhorhtRm7gaHFfy1iPNi65
6xdu/Ga9aN6wr8zKvNVV/Op1dPTwuZlQv0b12a7xzHZ21Kwze7kM+HcCsy681aAvwyqMzdmXfbEE
zfxCWHHW6c3KMqsbJoJkzg+N8YTbH2dv1m69xF2ey//B3pn0Ro6sWfavNGrdTHA0kkBVL3yeJLlr
VmwIhRTBeTbSSPv1dTwyu15GvKpMFNCbRvcmgURAcvlE2ne/e88dE3M1xTXe52xQpJssuINFd3Aq
j6nD192OKTDZ9I4R3Q+NybV+EF+mSCYzYMCgXZuw0W6yAPFrQgK7d/MoJ2NXee4jyya9SaCvXSgB
Sze0CE1vkbS+gVT1lnkYuXdV15XPVcq9o86JbvthmF4GRavU6ImiXAL7g5XCFoWGeThjIV7aCFPx
mGfZYzKY8t63Wfis7TKNxyVRpvQIp4YjQYwvl2pX7ske4bhIO9PDNOfWLvUGiFdTyIAGkocN4n52
a1an16j79U7tM3is/Wv6ucEQgIsZAzv8Y+DFA2WGrhyL62LWWmWpGvErN49MZpxSpNttA1guN5nK
aJKbgSrOuf2F/Vt05CCSnQpOk8uyZaCZ01IcPXKdyzHLivXM7u8GeJr34ht6Xcam2mSpMxOllv4u
b5ru2GjqnPOhN+8TZY9blgzInLJR2HA5tbRbWanoIRkncYtcyVPJWArS++0eWU1bZ15Vl/OBOzc3
1tXJzXatot9J+zY2iibQp0pP/vd5rspiy/aFGZCt23QgC58uIa7z6UFLfYy1O9w5Q3M2Yr2qUPNg
LEmxdwsf47cpvPoYVzFiXGsC+lqxVhmwVlv5kmKC7y1uMBjsgpWKXzvDZ4F1YCONIto5MeBYSBeN
vbU4KBzBpOyKcpbv+YiNZx2OhoLE4VXpM+/vF2AS2XZCRODWxV4dApbF2DZFK5H1rybNyLDOUvhh
ilI3OqiR6RB32N+ZK/yL1NlrZxBrlQtWip01HmfyCRAVquFNzs58zmbuj03r03qeMBiAFD76eLBx
KMOYwLntK87/7Zyk97INWuTirHeoKeIKLWtgMDklX4rPLyjHJ6vw8k/6jolChJ3/yQYuPHmDdUiH
zMGc20U0FgW26mjOTa2CMkSjfjVYyN7VVkvHfFVZfCosY2XmTvNFhWSpF1M05lieU4EUzJnhAw2U
ycNunbsY6OgaY1CGx5+EIYv/aV9DsQcmO7nmMS5BjE4ZbI7RIINdSeMt6qbuS0ixt1iKejRpKCNH
zhzvkQ5HrGRMoKFq61CKtsOzA4q7HtoXhKE3YCZf1RQW3MZF9+QQi9mnLbxOarG79NVi/iRBZLLW
GUxzhl7BOZ1Zg+5GQlS4A5hZgJ2CA8vzqbqQP9DLqArEnSxLf203hdrpKh/1EqVPbnBI1u4G9Dqe
DIqAIoDUShrLuaBq7zrg5MgSG+13FzZe8KbS2kLFiPtpR59eyCrDCACqT/alds3xBDgYyhLXo3tM
HsZSo/TTdTNN4GFjd2dLGb8msnKe2lzmeB1wrbDtActmGO647YerPg63yrrF035Nn3VlwMKLbijV
5as6Bb9HLoo7QVrNCO00X1GQQwOnNCz7ZA4FeNnKvlZsa2E3hI38bCVaUa0Dv/+eWalcyZqC8kWf
YWfo8kKvbcd69NH2l6lphVvB1XTNfrc8GYV99sYK7iCEW3BF2r+duxYPYTpNX8fCaQGNBCq4uCy/
O0YkHd6aqVXes6QNH4iyTmcW2NfcalIdjVmwV6vM8ZB1/qyXcUw3tgPm88Gd2TLOjnzt0aGvINlO
0xgLgw8nTbflVorfJZ2Hu8Eu7zHv5Scclpg7wt5ZuSp4BvqWrPqsTTlKBlP21OLXOatx8uiaHtzs
eWpBmlGVqjE3pWNDKkzfdHwglhWwK4daMH/fJ/k2KVVy8Erwa2UUBMBavVugDuVqcMoA2tpc7dEy
xiVu+JJvxKQOVoNxRmcd+mbn++Uygh77SiYY1wcx7RdDOPdBFz2FxAbO9DMC4YuY4vIOJ26pvGRV
TtklYU8IilLu3MDn+xOG83HOoHZRqlLd5vXYgRLK9xAm1aXyU3QDhqhTOJcUzTM8OTeNH0I8sNRH
0EPMN+djHLMwCgzvULUlSxuT8OMuiybzldIseAww3bae65ZP1uBz4ZLspPdVVh2sWgxHNAE8Ia43
UbZpt88AF/RN0EeSlnK7pSeBRTWoe0HIHr9Su2yFKjbQDbIdfH9sHVBfl8Blm40CflJy+5rBITUx
e9nENYsLl+mxuK7kpzV3jnrDTtI8Dvb4rYHxvW362NtBnEHaA5/Q3HLd8oDHOfMBPwFB+jCeHkcZ
T9SlRrDwhkDfY7Es1jqNkKRCq7pvOVzcKznTLUjpyRu0yixZJMM0HqeSru0ktILvYnKi57Gn2x6w
J/f6IIvanG++bu9YL4UvIFJm6F81qkFSG6sc+O7aq7xknxH+3JeJb1+sVKS3TkWAKNQJfYihcuQZ
bSD5KBT75EXaVC6wz3zC7mCJ4yx6F0ygmrie6R7VkIbkQc+45WfA0vi2UvYJnht+tFHoHjioxB+I
hJwhsqsU5bTZJWUILxkEBu8AeesqBb2YMDziRVib8k1Hwn5G3Ujf8KfpO7QNZx2HER28tLF/SwzX
uqeNks1BVBePYNWJB9kZ4/0V6eaEjf/gEfbdJkPrwTsRyf0Ysz6Hg05rgUyy/HttOeNDxe2VxQy9
c23YeoA5m6LclTJz10YWRYehdJxN23OvYXiuzHNRzOoNmUXcsLIq1kEdDJS0KLe/Y2PgPpQDA7hR
z/kDBOKvWd+BxO64fw5FdEjiqWed43V3cTtZ7141IivmfGcWVS1JzvmpgTGoK7HYaHsPhhoarTDG
e61ZFy9sNXQrsA/NRncIGU0W0qES2tZ3OwuiIw6dpgKdMnTMtZAkzoLDwYZlHC0DNd9D1bU0NE6M
+ozOqAVso+x7VffRfRaG9RqOXPNYRekDd1fOPB6zNLdfZ9eVvs8uLcmPfV5MT0IlkBYkJQuuUUh2
1hxrV5yR85cwa8DatkaUvI6Q1rIrKEQhO6Bva3w1XKJSI9/42LmPvS30e9WkYhskbO96WTrLkJFz
GWYttyt2fQ+oYXLnef7V3XfV3htz6L9jriEpVcfeg24tvSeIQTrJnvsFQ1d4aHIl0DTYxPBVbRfS
LRXySe+jK8yCOAW2vJSPJRvscrodU3kptSVxxslxM0Bc3+Am48wZp8a2YnXz0I8T+P6xp+TQbW2m
qsBSHkPlHHzXhvC4U+jqKU94DUhrOZu0EPW+HlV022VDdwcCKD8kFn9/TDwCLd+nVQb18RsXHONm
jOZerkVhBAb93gXXoP+JVyzLMruYQaIpz6L/58osqiMwn1HxVsg5ZoWCZfhJFOw/PNxX57GKsi/0
io63nsPSBZ0WMyw1LAVXpKz6vUrn/2EjPL51wnt/YYQHGV7+2f/++w/8UfMmfjOJGHNLwNktYBLg
qVffevlv/xKEv/1ILPkCX65Lxyn/8o+at5BIkQV2gB8GPIA1/g8HvH0lEmB/DwhlkTfyySz/r3/9
qfan/+X//0c1lOc6rWRPqt6yf3KeBy7AOsz5BN/t0Hd5rF888HXiKxOYmrOLEg0iC1xiYq0HK3Ky
rVljtORrpItzkEZJgkPLCaoltgTJlCozfBqJ9McendL0Sbxh/6I1xdTewim9oUbBHaIU77aL8Tvs
xrVtWe63GXiXAs/kpwfXKwYqAtAylm44pntRkTWjLfXsppV9CVGVAIjNguHSqE6THab7Po7YSdvu
Q+AS5+QVnLdmY3WrGhPZDT6fTQ/8K3Pp1vCEcwCptfSbYVjpTukl1rxqYV8vSLoL6o2PgAyzdMBt
62GuqNvwJooN65aul3jr6gRCc5oeZ7vALoi1CQMkQdzacz65kFJ1PPYfuMACnC4pfXi9pxfDFM17
fEjyosNQHfLUTD7DVgBpny1At5Z89yfaHU3f7DbZ0LgrFfKYQSq+RaNv3cp2+tQDi2FzIoPpZmQ7
W5+djv7KHL43CO3IMnoh6XlkOj65HGXlPBxK19qm1DpTl94aH24dkOyfnE8wWtvexSifi3k3FABw
bOU8xuG1UCsF4+zlV/YlPazsBLOXIvGmtfT9V5GZ1w70YBH4K9WrbpkOU7sO4zZYBYMxHi0FOwoQ
+qEs6xnDo7vFKc7QUchz3jUsIvV0BS2TWdipxv1KyzV+j06YF+0I+24erugrAFRfyt7Gn1uLMf6w
I5CICdvTcz4AbsaR4H503WBsi6EN7soypu9lEvP3LpTjYnBTcl01JrsjDiN16pL8zrSa9LvbKewB
c0OwJ4YbXvY1l8u0kJ9NPjBBBJg32vCQY4RaWrHFHVIbnXPHYT3iUhuc85rEthL6PkjqS+6b8MmV
f9ZlqvbeWKTHtKVRBx98ZJ9xStPB7s0fhUevVGAUX6AojDe9L/aGXWgAXpDS7n1/wCSPEwlgUIBw
J/BxZY1in+joJejx+Shz/84yXO+ewFdvnXyftlmWL5XV0olipKxoXRqCN7Lk7L80ChVjhggLQWBh
5MmuCqCaVLGKgTs7q46yWLs6KtlPpJngCYNFu++CAGRa5pQ925bUAUlcCG2ay2GkzZHb5ATCr/eD
OcZek0BT9q068ldRESmWfZnFCD8YVTItgNKxBTPctJS7wQobuUzsvCc8krtp84LLr0vZslWB1IS5
g+tEZtbB0h6DittNwghNsAAjwhHab6E28Lzp1gLn3AWsH1tOk7lXGPX3Jk/Jf8VgE/kG9EkRLmMU
acEBJaIynGhGQL17GKMOxiMVN9vEEbO9ILbOrVwiPiWbqDSC/rO2x6TEKBMQHbBqoIs4OELvCyDi
+aVSfGNCmaHfx10wrzJKasjwzlNCF66tYHzbI/jKJUdLurO9uiDpw3GKF8vPDcwc7hpiZfwE3Jtv
iGTlbqes9vKMfqOeIMM3FV3rSdKERAZeldTKz6LOymxDpXkVrEuJ0fQ2ySvefTShZHstEJNrOgrZ
Qpsi0A6F8EzA23JIfGuP5VAWHy3s7HQT+jm2FrsMKJRyYTi8k9hO8aANyX1YacpXCsEDDg3FaRZG
q5eqSWg5m6Op8xYta9ii1gdh2PaXXKTJTUUy5l1VNbiuIpnam6Hu8dMngc725cR5K0CV9ZIemJfo
HzPpPyZyeg2qbFr1VTu/BR7lA7jZiouTgZMY0pjESFXJBwCh9WYc++AttlvOlo509RfL1J9KDBgb
zaF6jozuiiMF5JqN6OmjPAp+L31N8PA8qrcnNZYn2Y25sw2NiFcUF93VDEhD1KJAEL6bu8Jag7WA
ax+rRtqr2mcPsrarqlBHrtrPo3QnfyOSVj5kpV8499SPjdGmoHd0hZAoOFJW1HvP7BOme48aE70r
XGIco0lc46HwreSThb/lLVQKZGsVdG762EGRHr8wEMgOUCaq7BVGS/1VGycLC17qjrHm64TUGiw4
qdXWImCfh1+50Rsr6jG6Tf14lnJO71yD7eboTNNN4AyXOafkL0pEdgmYmBhKOSca2vTR1orprWdt
eGkMM6Tvg8zWY6+L+TJHXVmcx7Cuv1Ykg3fUKSmYMaVv4EkNyncRpdbFQPxikyDDu0mWIwdcKwu+
xpx3IbNjnSay4pHM6ZwhypeRdILvQaHbUzMP6nvEmZLQclj7UDUN4DS9b+Cotx2RJGsf4FzxPQ0E
ZuPMSMzbfBzFfV1b4qVURrYFoW77mxCYVXGCQcFuopqT9bVC5rGGZBwv+1xV32yf6vURR/aram1s
rzRNhNBkgUQukHYYxtOJMdSoWX3GRW+UN9gF3EccgW15qpopyPH01C79e6kxZuvQTIJXusEgl2d9
OG2zJqrtg7By97M2uvEC3zZ4NOuqOFUpmh/KbOQ/FZ3lfdFAOU7p/ANgWc7xqxgNdu2TFRMgmgvc
GWTOVoHti12EKL62Ys/CUmjL/Uj744g98dpXPyjT4BpRkyYOkNNbPH2zS0gq1P3TlFjGLToIqucU
9+hMAr4k5i0Dm/11NVQprpJtMS86k2Ad+4O5WCcFWJdeTgOtOY7Te5cuG4vXsodHsanj2LkaKceI
nDf0iOwQ0hXErjIaZIQPFZIjE4jJ/Q/4tKguKLnGfOcJlhIXw5wR0aHJM8MYCOIB3GiYk6uGESpe
KVXE+aI0cgUNMGBK38Zd6MWntALGuBwrNV4sPCjxwW20Z55Ulmk26CF2AKSJ+j6sJ7DQOjPm4T5q
U695jvDhT5jX8XpkVygCkYkq5ysfsjvHhE0WJif3SbliGz5GUykuGScXVBOqLykVaNOd4WpnF3rB
BKAytXfcz8o7RzNtI90FW0JkrARnJOaVkfX61Ecu+OqKLckxxSoNSggvA2T9fuw+pkC0Ff6LmuOD
Y972s2L32kX3Jl/4Zden0VoKRNK+uLaiWUN7LLM0fsp6ugJykNJsoBsRP9IQR4iL003FO1xjspnB
KZ9QKIJ867huFu5YOQa8rY30HCDEhBHPNk71uwDzOTbTxHlylZzaLaRqFREzzLksl1IIigIyiiON
IHKeZmsE7VzPM0U84TwMD5OTqWZvQbI7JLaOP7nNcbGMOoWkN6rEiXdFaoLxZv54b6wyPM4ITGft
1ufWt6Ztjz1kUYTU1XSV9k4Y2YNVNXjHVtNTUdnykQ4TkJFpFR0VDut3bhjZQ+zbxWcDPXbb5q0F
u8cxcrwpXQSlyfXbzziuOIKBloe6baodXSjcoJop8VkTp11mrc3ecTctyCU0IPx63ZYddRzdeAlx
vb5WaMRqIl2R40ddtnKuP5p+/pCtgeYmrRSQOPAAr2WdWGDhR5zK/pav+TcTD7PVn8ErwJMrsya5
sXfBH8uF4/XdoSqMv+Ug/CcPA0AE/JstfB8b888PM8JoqaPIUHt/6tg/E4DIlu3cuv7f0AZ+xkFc
B7jr+2uBvDSvcJTwl8exQsOW2BWGvR6q4T273uGF1EwE8RxAeZrgJnwrRrQSdmilHfzNo9vXV+sf
yeXfHx4aie+Ggc90++vTTFWcGySr5N7t0maDb0M+2EEpNmRqNR/SvrgELRajnHDhWz7XyBycJkYz
fNScLtwfxwwwtMX14FEJzv16Ok9+Xe+F0yKrmGYs4UFoiSps0EV913cdl6oa1DeyFmUZCy/8nZf4
04j800j8T0+ISdgE38gLe+U4XF/vP0WxNW5UyiSGZq/TvscTkae4ViDYKnNNzjjkHh8XgbP/k2Bw
/v31+usHda4oQUpTOZkKwEA/P2hH9tAdUWh40FifHEgeeSnRDilv9Of2/a8f7DrS//yW8WBQNXmC
/CaXovifnmEcOnZFO4XcK50aa6+zPyG5bkpzkn/zrK4Io18eiI+lR7Qe857reL8gjshaWQ2E5Wqf
YkOTd67VRNw4K8sbdn/9jH6h9Vw/hVc2I1Mkx0Qb4/Evb1qc09Lu0VO3ly5iczJwpIiGKYlPqB8w
n3LbsYEjIi+Cw09Uf5erwXHPhPOW3IiSTwp/Of01FiYDfDGR3k0/zofdj7PiX/+p//SaWKBbqAJH
2OFl8Zxf/1LDjWVXB+k+TxLT3zfBIM9TPTEs/bcfB/ak58GhRAdxwl9ee9EmfRvHQ7KvIoaBVcfW
OV3F9DD8Xk7/f1ruu2GDVvf1d/mv19/8UcNeJ+Elf0hV//i//5voGPiXSYyYf6kMLpPkXcq0j9+7
5M8CofWPH/4PSgYQStf0AliXQWgKvpN/qITmb/bvbyKXhyumkn/53yohUiCw5usXGdEb0gx/yx8q
oeX/hk7MIkq4Fu+/D3DiF1Xwr1RCP/yVaCP4rLrkje2AwxqP98un1owy2oxJlWx8t6bRcbK4eStq
VJzlzARqL5xG99m6yy1OlmMcgb/1Ud4Q2CZ7MhZSSHep4MOdKgWLrcY0TRQtKtsTF47iIU+V8ejh
49rHUz2eRVklR7YJeHI6zy+3/ZSHa99pKAip+uRzdAKNFIluk6xk4iQ7KoSLZx1X7LGiogqOsVVh
9k/ANi0tFc0XMdUlOVf9EA8/QjcYHVi9MOuXHm1XXXdMAs7fU+CZ9mZG8mQommJJSKKYDbWtbNXe
pvVMQHxA33kAvFe8MsHFDziESGeadva1RUW5mYsWbN9sjPprXCM5TAm3eimH7l3hOFiGVr7H3Mw0
1zmM63Vm5TbH46g6T31Pb4rOs3UFxINKhOkYm7JZW/SoQDfr7I1lFvHSHdIGjVVYXyHpTyWLoCGy
6UhNc+AUIv+qBNE6uqyL8DOmPO/JFpmD49HH6rOAxmhjyrEx4kvPVOvQyRnv2S0DHIztA5YaY4kt
x11Kqm6OU401kVNhtPJtajlJvVQTYHlOTUs9tdU6cXXurLjH+DeDULTdVW75zaTeNdx2lBYYC9K5
lJLSst6fdHitP/EgDizKUtu8DtftJVUosVyAzmDDZwsV38hAhYcprJo37JU9FciIluZCTCngJ8cH
1N/hzXwt6fSmBdK0kx2wNQOE99UojgAQhMs8lpzzZ49Y3ILum5AtbhilO0wow2fTVSrZ4MOadsSt
wq0/+DN7vlhgoW8GXG6+E1wLNvlYP0nXsc/IaO4pEkP/iAu9fo9NJ8kQKZCSjjLmo7jEq9t8tFhO
3qhjqFk1pz5VqGHWNV8srKfUnpCiz7dZVnUPlu+EZ9e1DOCH5LtOGUnEc0ltdYtvJKGaJZyCDgmg
mp4x7Jcc8EvT+DY0bN5XgWV1r66f09rdinobTDP/XtuheuyrinVoLMtgWlxDaNg+7Gv4c6Rt7Ig2
v2ArbdN8zdBBC69Sz3QjNPdQQ/XeIcDN9zZvd36QGAS2GoHehePBXFGRA4k1wqz/NebLdf3RCL3O
7Yqi3Zlpn3VronHBfkRBOJOeI4Zku8VkvsQtS39cmw6olZZ60jACU7YIhpq/2iGktAicllKw3uwU
gKo2iHca8OwijpC/C1u/qZiuYorNqId0PmqOWSm941n31fMnKigA6k5v05hVq/aaoo6NXj1OaqCL
DJs5FjnXPuCi4pTtcbqkcCvFKzZP/YvufXgjILJcKBaKksnpBzWVhvSFM5MHruam2uQzjki8z2jB
M4jdctZ0xONgHgGULUDnUpFH/Jfoux89hxjml5UEekqfVCiWhjWQxJll17RLFZctBMWrvIR7y7SW
pcK7fRX46Gixkzb9hkSXPGk6CI9mTmXeupUOrkLDtdWrwRfF2rS201EW27bDWwl7hR5XAy/LAm2U
r7YuvfbcYGKbNzBIEPdLTSLbMhq5kCya0OEHMdxSug0jZqYWby8Jqb/2ph9Boas+83IkY0KPHgVM
RcEhKaTmeI2u79n0lLVPprSzGx3YmuhJMo0vLjTHE0mn5M0aQSMswIfS/2hDbeADGwXGsvRL2gVa
qOcffYUfNS7lB9WKeF2RfusDtxIvX8ZZ0X66BkUfC6MbWNpWUqkbCB7gXpAYZg/mckZ61uiHIFmy
uaHRl+cp/N0QFgkyRRZbHIbNEISbiwF6qSa2IpoTOQfmkqVz1x4iAaCl5JUycR1gVWbHXhA/tXvY
xru6lPbGTVEYd6WuQnL2sUNHlFVQl01wyikY2kPT7Vd8NNvvhO6Dgylre2X1fT8s4O5zcaIu4IEo
Bo1AOk2nVaHa9i31e5MMfRgEF9l09vPsg1egvy3HeZTU9hMLrxZhKgtIZxcxCF4fkyvlVbFz18ig
uhNMIU/tDEmHy4bg4+P3GIk2M969ctXD8px9ifPSndz4ObQGs1zRWGZ9N1vOlUf+wsRZidErbITb
OXiTU0AFz1DY/Q3fW6/cRdTOcmFQnnjk2tSdgFdkt5gf7A30KX81RZAomA0xsi8K9u3JkuoTa2O0
dXrK5sh/oRxQoRtP5V0OMmJZ2G2DD6xOz9BgsC9qyyL2AcMGi2X7PMRm/tSQPVhRqvDWMFw9ymZ0
z2zh7dVAKnnXevD3WrM2vhHGnGieiO1h1dDHss/MzCe1m7rRIzVl/tmv08e6No1zVM90483g2wjQ
ZfkZDchaxrQvDks1V55ccL/TyTo1EdQxZVo5lQh+BokhKoLp+kkonOY9xSazmVjze4Svcoy77Dh3
CXvXvaQjcTcWSn8UCaxzogoZJqOBjg8YLv2pbLClNkqktBt1b2UT6+00oC9GKStRX5TpewROEE+Z
yu8DX1V43mjR8Mak2rSGCvA3BuSIqCMIVvOQ4EC1+97ubnyvLL9gn6LtKrDsKVgzeFhgozrT3Rdx
w8UF75e7p95DPrZa1SBZuuQmzM1uLXv6dUECZSkNbLmxNHvX2bpcgJY1pvFHj1vLBauFg8yqVM5S
LQ/EmkR//66tTGFgckAbcUVI9mMdJThWR/vBdDGWWkOINAfWzD+Z8SgeHA++w7Jwc2uresfeZsEU
3M6aSfxY9deYIJprcSPo0n1v5jB6G6jOvpe+FX7vWtqPuCtzlFjSJIPKZGHsg1M4d0az9OKhKs7p
5JLH8hzeYrDfLOC6XgKjkG49v9jao2OIPd45bypYOG5PvyC5QsuBSc6hGdhxnDzjoki6jQqD2rgl
DZsc3TjTq95TUbR1EqJzMByGWe3DiPqrnZwz8TIafCOrMh3vYWzh283pjFZ2YrdL6fVU7w0GlwcB
MWEraEJ9I1xUXwC9Qii34yE9DK3ZHkVCUeNVt82IsDrzqROtGuniMoYLB1jVLqgAT14TpLIYGMgo
p4VLr+gjBRDtC16j5hz2Wb6egO3fBoOIR3KZrjutvLbjHe26VEPaKf3P2oV/gBPWnm+NkSbyHzyF
jhQkBUT4MNc+q8YPTT+RdV1OzO8ykdiRESYptpib8SvOkCzYhA75R8xYIfQHrS5jLqmY/PEsEaBw
WJPtegtH/9HJJDQLrTzS3rXjEjGomnOgSh8TTPnk5cV9kZTQzYu4P4U0WPCdjehPy92RXS18rnhp
zA3p9CtjHYCSCF9Yx3MHiRp0oSXSWJmyiQicZ8jU7Sm06qtaXIv7sRTNDcNLQf3gXLwif1J9K6Ae
fOSzpn82BzO2xHHs3aLfXmvcCjl9CVL68A410VNWLqFF4VVS2RZ41ziedxId4iMqYnCjlUlUsTIU
h8u48UFw210Q3lJMrncWd65vhtWLb3EcdcN6zHIAN4SHgm4lSt5rAg9Oam/tOiRnGfb2hvhN9qoN
A58dIXFnM851yL0tGZ+tPEzufRwCkKUGfdapI785P26+HSnpBS88ADEVR/cgHXr6JgPIMyQsH8nt
HC1mcwGBbBTvSZ0CPFNukBAJRNZncyTmYTFq27kLcl/RkB6zaErg+fE+F15IQ3jl5vluGDK9n8a2
56JBbCJbFIPtvZqxxeZlaCWrejPt4K6bZvPhGq3cqbpLb2piHZe0VO1Lh3Hvs2+9cFdUufU84p7S
S3r24j2xqR4jMCZEOGiVjPdG6Gpjn9PNtyPGMmFcdijj9OZEfkkYkoH0d3I4EdwGU5ILdqMkxvvs
xEiQ7kSn7F0D2AbmBUvutQWf8N6bITbgSqyaZuU0pabOLfI0AQ0Mw4Rt6x6LQRbRWDdxlmPbYdVn
YI0aL4NzPd04QwZMpqfN0avILSn8vvcxn8wdu4XqK46V8st1ypY8glMWK5yDxoM5dMO5LKzuJZ/a
eQ/NhB0G2Cuqy5xILxur9/iX0eSIAcfr2JtEd+swBveTOtQLL+uizt7LuuiSHUGb+M6uS54CJTQ+
EHs3yy4DrLdOOsLh61Lioiuys8FunHxRMRAO0p53jJPJGlkvGeZj5kXhPRE2vXYDjbetmAcycVk7
ciCpR6c/9Cmp+pXQrjsvYih75BJaE79dlVJoWiTZ9aaclt6ukz1vDcd4s8Q1O1LgepDckd7TXGCz
r9Koh78CkhLrIFggd5VIiQpne8RmtZJEW/Je4AvpMp/Yu5nTzQqLhDUpCIsOU/hnGVj4vaepBM1I
mPWKMkw66rFFnu5DJMtvU5wT5u9yriRGHIWXlsTfU+ldZwqJH2AFkGAmKBZYmN0GyzmVQsJaMsdq
N+Z+v6+GOWnZIJfTM0q6TQcsbLy9wdb2C8G2lJWa0BTyhXjr9k7X6fjFHyZE4dFXrLR+iGb/X8x6
nJtv//Yv759lWq3SHtLzh/yzHuWENrLSf+1wW6TJe/fPP/CHdhX85iC/4vGyUaNAvCI1/qFdOb+x
lWA8h9nqUXfyJ8Kr7f/m2aYPfBVRSdg0RvyHdoXDjZ+AIO2YWJd99K3/jnYViF/ZqraJqAZ4xfWu
2xHT45n+WdBvYZj3cBidbRNZ7mMWu3rFR646TISOVyNej+3Ylm9JXk58T4KAk31ZnmzXG9ic8x93
W4HEu0lqN38BSJ1ytdfixgorP9pPWiYAM+wuYdnVCcEJRpHKUFUhTlEOX2SRo0rs83AWFPCO+iWE
KvmdFl75kmji4QvEBnknfGM641AvFmFvGku3rfMNrAr7MHWjfT/0qj26fVUf8JGxBgF+sI/HGcOo
ZRtXez1Xj2Mj++yYFdz2WeC61SP+Lm3uUcWNI+drLLqem42c2wVONsaD6IlVcLstPcM7irAev7Rp
Q2ArM4Kcic6f02fK2cynyJsVgVYn5nc7NdwKSFxgSlhj25/hVUuGBVjWh66f4o03ivxW2xl9Ilk/
pCezzOC8d3VIjoDW4ZDHdrqL0dR5SPA7nS8hkv2/s3deS5oq67V9lfMCKCAhMbe/9+XtDdHV1YWH
xCbw9Bq0doS2FDpS6F6XK3pVd/2GNPObc8wdzoXyWvoOA3WTEGeGKicLjOx4235IjRqPIYRYDCy0
VDPhlAXmXINADginqb7FYwZ2tjb9Qu2AypOqiWJwRu08TUcXozrxSqAVGIAwFYBcsok6etWFeZ88
ppZFnIqGWntXEKQ6iF4SRB7tn7hbmI5uTOAfgqfTHFIjY3RfBWYPgrMz+XTjPhDZavYJRrVcTIix
ld526ky1az3LewJt6e0G226+py7HGpW2mFV6/Au/FTWCH1Y3uCdsPtEZj031AIpJvGhQQteMWmY6
Jye2wJ1UZkqvAyQM8B0O6Zq1l7ryRIZkOhDNDPC3l2oLvRc7iayc4oS30bs4ZapPsuvw20mFby41
9NZyQfqR4c6fC+5MTxhRY32oBKiIZDZglHFJN8UqleTyaMGK7xT4P45smd9dZePbF1mDFDEtQ0wc
7+Az9e0s0B41b6nfuAQuLSPAmx/1WAeyYBgvISDlwpzDT1pxs5OROc6HRzTkjI8EiUA0grepsgIY
47xRK+lRpr1SA0YwSk99epezAGsJaVhoLLhnlm5mv53tY4t5Cqe+24ptMg3NI32qM00q6dbUibGR
qv5UYCWBJlfFhmyo8Vo7zUiGsTqZY2/svD6k73Ry7jqEzxG1ZFcERJLDxnkLY1o4e9Huqspbqne9
+OKYviYsV/+GeVjfCrd5qmmrDpKWfmE72+ZB30Fyh285O/quwD3kSeWsrdQdCHu6MAfY+6gFB4CE
R3VpyNZCZGhXnG8B741cV6uW+6TJFR+nJ4EG7hJrbdoIWE7BxT6Yu+JCqNPd8hgOL+x95dXg0rVq
4Nftc6fr+wdg+RQ/Rn8rv2fTiDVa0eh/9uy2pNv8jgPB2EXxb4LkdOOymoC8q8y5C05oGnG8p7gI
xqyH+W7EtKv5Jfkhaa6qv13ko617A9hc19Aw6nvZNwbCftdbqbHz3VTytejGPSUUzt4cHBPLZ20d
rQZqxKCh8xURmNQVTefhi8dbu+67wV9pJTHJQFpqaG/WBPEQtYnFpV2/mzCUXDuZmE9+Sh2Qb9UA
f0TSDOdCCOhbXpjdh8IPd2ZaJT8KWA3dJJlEO5s7c9ppIiRb8NJUvCLS8cDbAyoE6eBDTfsZHLU5
Sw5TmGAqqLII3az1xBVbqruysyA5wARDYxV45cJmgtkSwtEv8PFuc6ccnkxOjO8GRVAnr2B8vxEp
kf6W8/XCi23v09Tsh7VNUOQrIpBOqiQ4zJE8E9aYLp2Z5e+NiFriSEjP3Gqeelo6wUr72eOU1MBh
W3O+E0ZW7H303Pu6vKikO+LxmSB2w+4Wnj28YLsedi1IWAYGo1cfYREYN7MtTXW2+TbdUeKUX7Cc
pMM66wPr5Oj8IwyC7sMzsuy1TvrqytucPRTZ7Hx2QHgycFHmCKcF0M1dFEORoY8L2VJEcwseCxKo
BqC4bjmAwjaby3mjwz7ZOkF/zqfZQf4ZEM+YdJwbY/ARBLChPM06y3f5XMxP4dwh9ENQzN58CLbb
SY3dHZdHHNl5MRPFzme1bt00/a6zuD/CVeNDKgyZPOVOxLds+be9JLHvuzIRO0jX00FYyv1t6Xja
u2HE0gdlYFrbZV72KzJoy12bJM/FI7q4kGVon9Zs96qpd1bK6RV6g36Mg1ZSQ0Bt7N73/ewYzFO0
D51YralJyN+Msp8R/31xmRkwZCsLzuNJOeQD12VsW0dmAN8QG+lls3T2JWOf5p4ZdM4LJ/qc2m6O
HiWNHI13Gem8ugq/nVAvWVshmv2yW6BlkBzTW+rQdmAT6IIeQnMrUxEdZJ8INkm6zmLTNrZTVFYP
DPcs5vN1QueY4PCGdavoTybd4JCFs+FlTK3vpoeUued8b6y8iNS7F7TRH6/vol3pEqqk/omo7tQ6
0HocHYykSGzxmjaefvZYan6FXK1YdMWQeis/40q58lKpXrwpzf/kNuaonunMpogT/K9FZ33EqRDu
oUlJvna4q4ibBLsxgkTtV7A9ZjKm70EYfS3oNB4t/1yDiNsWgkvFYESHsraezJnPeUorfZrq8IZp
tV6ZKVg7v9cz6Ts1iSfawDLj0AeJPI9l6j4NZBNXaMOoUGXQAadPOXQQfG2/0MpuWPT4oCbRHIUy
5L4GRi9WWGbTTZ6k+aaUQj9EId/pfqLEDppCsFPsKS/4gvOdBXMOpdpq7nPPGV8yNRuLpi9XWV66
a9XmoDQqaTzDfduOzoRGYwr/QbeyuDVgybgVJumbNU3iODRFv22GUn2XTZrtddaWOJm534xeGby7
djHdhZZbfQ+tGHckFzU3VtednvCW1gfqBziYiPbgRGZ8iSv6aLMhrj+Dsp3PI3nEH4/U+1qF8k6J
JjkXwGZPJSb8r6nEAQe2whfhehxaCDXTYCTnvMBLwkkyG3/C0NSXmZw7Ck5huDdwTCwkXOu/iqER
0NlapqWhQRVLoZN7d+IcZXGD21ERB0wn9dQV4zVCT1Limw8dHK/t+F24Mxh+Vd963+7AnSlaViyD
40DHBAwaJOPIDoUPN+mFQ2eySYPSoQJagO5TLOvofg4klWxPXy0di/EXftFvZQV3QNDaXVF1hFCc
KPEeK6UgldXKtHZxbZxZE4se7BQ83aJmXV1V01gyJNI9JbkyqOez53Z6B5PeePTNyTY/tJp97zSE
LZh0VwV89lXu/HDIqvo9ZBXrlU2q3o8aKIIndVSf5qLm7Nf4WfANrodxzMx187N1BmhZufQ2DiUp
V7M1rpmVykcOk9MpDQhX2mYLeKpJAk5zC8DMx0JIoiSyuHlrIC7PaLzRoWhJgJWLqY1b99mWyr2x
InRbWUfFxWU226wK6O7vip+4iMKgl4Bz5nxrOp+UqzJrGh85WT9VjWguPK+YaCyDsu+mnoaHjKou
DQQJIg2SMAlB5TKW34accIluwDyD5lLmT0wlBaxC6OcfUFWKi91m0HSAGMqbXXFCybKaQCWHVQbm
ceRW9wCVpIu62KLFoLAmMM3rJpq30YyWD85QxW8mY6Rzo1QHF8R0DErXOWJA6D9WWV7cMOu7+aZr
i6sYXO/Bj0zH5gBmQx9JURO+/SmxviLV+xB/M+8Dskp/JLgANADuBzJyEcUI+2GJmwccK0WsOBhH
DOQVfAiA5tp/bqcm7pAq6JQfsajRb1hRNF/LPeJEvgGrQlTcIPW6ntKw2bNq/SLSR2WO6Cvwp068
z32CTGPS7WMR3RNJ+KnxAR3CsjKOI3V864xUtqniBbl9Y3wQrAZXFZscx/+TqRtEfoL3dBzRbZfR
LLgI53tjuWKQhT7wRsxrXe3KirMhvwk42/LHxCC9SSLjIFwGFXwQCUNwtpyERo9NUMVvQaMB08XR
c0chG6Oq6MXg2IHINgBDSrs7rvNL/5t/xdVUb5gWH+wEOYfLyBfm3ksm002JerSeg4S9wYw+GWjh
KeBqhtdRbLreo7ZN1/QhV3F3ZLoM/kIjTOEVninALhjuk6pcZ6RfN8kAK91l9LPWebMrcrEx8/EX
tnKgfPGhI5y0IdByN/dedq9t5p1ubM40TMzOHq04IJlO46LWU4O9PxD2KS3b6DFU+GadkGhzVA9U
hZm4LrCPumQ/FQ0ZMwUGHEqNadiPlgQVHOIOWVO7PdkkoHu/Xnl511yQSdMEZjDvr99AU89GAxuy
7QwHx2BW21uif2/TEqhAHOdcWNIO/trIGAUfhRiGh9xMi3jrRip4zZ1i/AWDIzy3Lmr4oWGWx4FG
vpMyAD3fGZIGRWvmggM51UoeXRWNUIpse16kzXHFxsEMvGzzp86M1DLrdFxiRFnenjDndJxB/bZh
yRvUm+N0TzY+/r3Z+XQLZvLMAoP7OlH+YczrX3RU2CSGllzLmDIjbQPgoubwRzBHEpxOTf+GkYUg
2RyWCJymyj8mn4ET+dY6XVVNOHzyZCVrfNikW4oi3hcIgftxYquWWM+PIg4i8IliPHQ+KsHKZx62
TUSjzlbEms8qZOrXCO3/o8qDZM/otC+3BXOHF5+Di0PyvchH4OMgMf9PfSu7pJv+B/XNsqWP4fP/
L78dfjXTrxKX55+/f91Sj/yPn/k3Bc5DTMOzanoEOWkW/icFznP+xXFt18Q45qO1OYux9B/uMdv8
Fx/pjQbBxR7m2P/UsoQ459qYygJrcZctf/K/MI/Jv4Wv/24DJVVKYBXuoORfMf+LYvTMYtKWZRCz
0sHw7zygjWBI57LYUS6Qvkd8vz4kYPxj6eY8CLTacWgeHaYhWT0ckMACYpVN9xQwT1vwx2nwWnH2
eBe69G7zbDoviQzbqwbHcpywTXxViWFDr4pGtOUGeHYhiXb7BGmmdW11znc2zgLqR913Nxcu5TNh
Sp6UhOgXNB7F1dB382eRW3rDDAFnCcf/+7a2M46Ri4EqdguoZPC5XRWmr0Te2lPDAOuVPSK9Yubf
JYhBgHGDgX6BmkdrICKapp25cT0C3jLzxdpOuVJUuR8yFZWM1hl5RECi7HKftMCcnTHLN3bdZ1sb
q9cTI2iPUQiFbT324Q0Z9I0fS7WaEte8cL5XVxvE7GnMTWcnEXtujhicZeCdPQ2d2V2rji079dwS
FLrTYtxvLeaI9fCYl6z/QIohCuT49bNe3sK+yYmejvj/xz74sBqHtmCjHNjXBZwDUWdUwtnNQS4n
B3wvE2Onbv4VFEyBOBFDL8Q8vRExfMdu9vJt2HToG44pXsJM/WAPV3JTdhDwCIhk+sPsxui1GyL9
PsVh+xyEffjHmp3ZWzEWUcMqqS0GupPJ2OlISKpod0xjzI8ikIwhHQ5aSFizN36mU63hqTOcvC/9
IbwkfjGeA5Ji20aBcOHsNvtLo3kQbMiQTc6a74jhrw1YktUKpyLM/qEvfqxpBL8xWBA7zAp0cNNW
5cUuHAMlRtZP+cTn4tSFuW4T0E0j4fk5xlIERs6+ZiCVQG2X3duYumQr/aB/84Y0eeXIS+lgbTxi
yVPndNDiB9KrXBUAFHDg9TUYyTSaxgch0u849j/BGYRX1cxQlGBQn0Vuy02vwYCuurSyrCW0xX6J
w1Jeh6FPH+PKt+CXttMJxot3Vygas4yMAFJJc6f2ouEyUO31q2l7kAzC0Yco8UGXT2qxJOZbEY3h
oSI1hreOpO7DMlq/052edpPrjidibvIjthuX0qF5MN69RCavkcqzY5lp/Vlgdf6lQ/IsMTesTdX6
/lnbdbtJAk37vHxIRqt+tIexWAd9PvxK7bp+lSMc0qbq7Q81qIjowmAvY73Qswgok/xyCpTbDf+r
ukWtDFzu9050Zg4HeMZr1J0cEy4hvlJvIUVxoDKoQj6ImsgoYzCV7dKQHtvBnFJkCNAfkMqtiIBw
Yd8xqWDjI/LJ72sSRCawa+lXDB3eifv0tOG2VV1Dr0ME7lJxlwDZu6qyt7YM2ptTO3gN+T5uysna
Vcq9ZnEEVynMuUQQ5LT++O4Enhlv0VVYBD9ovaoZa0oBvWxg+Eu6t20RJkGk6Jekict6b7m+mVM6
3GfeJpisYFPgWKDPiO7YM82FnK96epOugvqJbZXb5q4nSVsSfOxMuVEkS2ksTmO17WxvSHYzuP5b
h4IGaivw7A9cvTOtX6NL0WMmlyzaNEc4EXG+YKFpEoy/pwbwxAXkIYxvJ6YahQtj/zAaQ/ndIteM
nL4j8ek0cpSrUrXxB6PsxSpgZ7BTvJK5ISBm0XsfU+lg9ogN23/Btyxv5If0e23iKDsl6EAuc9pq
OhralOUe36JtrbnoG7hlR1ExalHee89swt8Gud/cm8udwK6mZdHGxcvCiLxGFBpq6K4Xw9TvfWEu
x2cRGB9uPOKEyiogdyumJOQrQTEU5gFqn2rWNmTim87TOt6OY2eP20hYjLpbQ6fNfkKLY2IjZPWU
uAMnKu3PXG04oLVfJr4L3AG968bQ76TonlRsGmevmYtdXyhaPJmFIkunNSASMwIDCuYx6z8S2L1y
TXwcdo3utQNHuZ1ixDkD46HZyhDmaW6lqLe2ZBTL9fCE6uIeLatDAW/x5f40hlu+Mapv9/gGpnzN
PArxhMl1/phkXvjWUxRwzQPnp56M5pdMgkcHfm61muFqcVPIK3eHZyw49bIfPyd/YLrj9IP76fRm
69ORk01H040AwidezmwKi99jSHW5fx9loYF25BQW9jiv0bsgDXgBjRd3+4zmUmflcsnXXHOK9IWp
xkihO5XIJsyGGmUPIx2nVbxjmrn/H8tnV7EDPXZrckn0JsVaXo1saHFGO3jIV13Ry6NhkLtF23b9
d4Uq9AxYNTvjQRGgbGmLGfES4Q7aIycP+5D8/kvP1eOaFZLgUGaYabItiRG/Q2vmd/ZItpywCDkl
ufYEAHSL8Heq8K++oVwXzjGBuabWoQd7am0Hdg5VncjaJSv54Aw7B5hnmC2/oByi/Ls2BgwAtDfM
N7qYeGK60Mrf0jLvz6yh1i/T6qY3ZnW0kpQOzoTQm1PW3tLG785fjUBfjf1HwM8/tAPXIVxZgaa1
TRofdc4OJSbGbFgs2PQAdeEuK4PXaB6NF1MF+YNjExyF8Qq+Le7s4mrnZYj9lwDgHxbd7g7sN7c2
JIjudRicqdvgQak+jaxSR2g/CLq1rewnmdDyASU9M75KAnfAeF2zAb0f0Fu0FqHPUYGBRv4ridWs
9sYwYPIlth/AeU2qpt6ngtLZrmiQHkqz/OPFjl+8WQDjHai22ntMcapGO08jWDRDCgWzw592H8QW
4fgOLBP9ipHU5xB4z4qmmvhBdzFiRetrUuGkMaHX5V98Vtx25tFXr7rt2AWGjv3dsebHrIkNtcoo
7sEOW1vLiEihkBpehlQhasN8VdT99mtS9t5liGcKlcbQ86JDlzRBD1xcoAxkOK66TRjL7m7pPeHr
6Yk2WYssDt9Dd6RsAIMVTo+cdxWChHrt29F96HQSgFpI+NzTBi4JacT5Oo8mK6rpO+1jb0FB136I
JaczSQ+4sDN44qOkOCZLRQvOSbteO+xwfDPk5JFj7a2dVVk9lVJDlmzT2QTpSwKJAoS0Se9cbrvQ
EfxSYNrzqlejDnCnW0wJbm4z8o4EeVaTaRp5h5SjEvxMkf8rS3L7Nw4Pfq0IZiF20VHz/sYTtFTH
i35zO4QWm/fBK0h30AlzbbD4deKWzXZ6zScZjhtD5vM+1ak8sNOqjDujxQinSJlR7SuS1ZcQl/p5
dDo7WDNk6dJNksTtJ0bbmGg+0dufXAXFnxD41UmGRvTFDGCa1lE7Bxd06BtGbfM4zdh3/s+y8W+3
vP/p0shsmqjnf3NpTIpfv+Nf+f/7rwp6/+2H/3F7DP7FNH2cFgwSHN90/p1Q5EnulVwnWbBth575
fyIU2fYSS7Jwd7i0XaP8c7H8R/aIi+Xf5m+8DJb0/v7R/+L6CErgP6QIPQcDiRVYUL1witiWcJZs
0j8FMoXHuIh5FN2YsEA2+K6nGkIgRAiFCeA330iWKzMOXnUt/b1raJj7TthtPJ2GR+HW4pttvDyw
6UCLwG3RF0Gxd6C2fdJJAyB+dhXjlS6rf9fM8BHO63ad6ym60RwwPvpBbOyqvvyLeuia76AMp/0Y
t94jE4dEb9FfHGyHVeGsSseNdwBEdlPQX5PUoeXcBEvca7c71nNExwM+18kqKY5SAY2aiP8qiPp3
2kyC78xwe0zi8RTuGyPsd3ZpgTTI03z8jvBGf9KV2Z/IWImNdMduP9MbdsDuAoVHmOW+HeueeE8O
Rzvx77BM6O2E0fpQxaa1qXGWrXTtcBxien+vXXpJg3SMrVUBRAUId5nOqzlM1MtABdOfpE7ca2ca
9qn2++e5NQNcLa1/b3u1Q9W8BNQk3CpkLU/gx1LB0TTeNoxbNpapSIe9P03jGsExe28Zu5y4wHan
MhO/m7CgAjNLEnyCNIwknt8+5cB4oTq2oL9RouQqyrzkK4aT9CbCiBFS0jqXCPTilxpZRFdjK42f
YXK7a8GR5r1iZ7rygfM6JXSgsIbmLE3nppEDoEzSfE5ZSs4V1PR/Rgd5m3McDs+cScKpzpZYPOsm
ow/a0eacyuDEZpLCF97hjTLKJ6cQKQNNNEz6hM13WhPYUF1yMAG48I1CVV+u3e1BiaTeaDvgpUeC
wrSok6thkIOioNhOz9IIX32O2BsJEfSZgH63Glp2sW6O7Y+RO9ihFz5OUccrll5aMOiNzzTfJSe1
aoQuwGW2wHM9sRGcqbaFjP8wXAw5uZVK3ixrSI+gklZ86OZFdWZx0dUcfGNIiF7GwWJQhSr7Oo0i
P/lx6D5rmkPZ/Meg5sZr4KVXpnhA3TBLpFWDjp7KaYiKN736biEVBg5Nm1YfqR2BJHGbbdrJUu2O
mG/yHp+G4FubmEH+knuBqDcj0fOdUfCeBallboym7D9nGVdnw/fVI2dm7ww41N9N2mxW9sgE2FlK
09BG1eR5r5mCe8nBDjuigUGmmdKNllm8h1tfvlhUTd9iXl23lsyeMcvCG17VcRrdAAFH9/ZsOUsi
cBmEIdVGuFQac9/aGmE7NKd1D9p37UGl+O0zQAyQVo36YMjG2cEB9mlByO7nvvrdWuOJCqV0bZh6
I8zO2DWVvhYD3T4+sw/4g+4zA6kNMUNxVAwpIfPErrH5p7X6vwiE2/85ccmqJ0yHddqS9JOT5fyP
qx4dnh7MRZYDLhMiXg2yQqpV9L7GfB1LdeGIL9a6AF/Wlu851POY1FLT3JzZQj+mK7A/d/MA0aWI
Sf3EZX4OhqX3EkxIdoGXUr4Tcmp2racTGyE7dopt1zWUiHFCzB6Dv89z9vfZtmOIDseS58I94k+z
T1pOENP0YDvltneM7PO/f+neYhj8p9z4gqETgbPkuQmdumw+/2nFn4wOITGLzL0lI0Zv5POKzH4y
/PGTCG26siqSHBIn/8VrejqSodcBloLCyLehUXRJGJFsrK2cYxzg0xxChRFSb5o0H/5wUoye42Kc
jl6tDw4nv9qe63Et+ubTx/RcwYfdw6A7iVz46yxLftf1SCxttor7kZqlI4JpvQEQA0nKauOTgJUJ
mDIb4ME3NIaXQ2O7RNfMjlYcEp6hpgZzcGlSksFY3PeeDj6BhpSf02AOO+3SjiAgiN2IQtU33Ovx
LtZWsa867b0DsAmPbmGH99MSXeA/vV0z98l7atkUjA563uDy8Ldz4co9abh5X7ma2aGvp2MUYwFa
afqsd1EnoqcJwMWA0x8rGb+2RoDM4l3mBNZ+yQhRwAL9OLchpLEHYfVo2rB57QSt5hF01FeO+MGm
5orz45pBtEm6LDuDzCU1p2R65tIWuWuCcPLV6KS4C2bfeLJbbN8MkyP2FrJJf6iTHV9dbFuv0qvK
e2rBm3uf4oWTORfWwbac+BLWZnNAuTwWFFp0Q+xvvKrpgBm3Ywf43kIg01o/jLrIblQ64M+McyuB
PY4qi32aErCpbp56AUQG0YGDLmXwXw5TqOcqdKqAdPBL3KX0AXezpJeha7GJF6bS1xkX5mVuOqoK
43Y8l+BzLgWlMXid8uTiSYrYV43n27vGIhwF/pyomtkM6uIpHd6hI6gHF1GbYbJFEkEWjPckhpRt
08BSC7Af3fc6rq4udtFN3FJdy6BXnYg30PqyrCJ5TdSWFmXIUzgmyzvadp4wma1qjZHciKbr2LoG
ORwPpg3bxHpiqWqXNStyWb3CZR2zIyuGU2oYP/6ywg3LWpc3wFR0I1YOE0/wOLncz38XRgJJLJKs
FA6lWqyczbKG+k3MOpMnYmYhiLHBi2W9xTZVvozLGtwIZzyVumLNVYJ6gzIc6AXUEyu6VdWPg1dX
59m0+k+JuLWpIG5xOSe8XPzdGNJlj/CW3cLKLZx32bKH1HAbjIOHQJSsu79bkBkoJPLAmDq0Q6v2
niezknetyp2Q/Bv7GpoZndx+ZWVy35LaOBmDwlG47JM9JTkb/CHsoKWK/C9Ngpatgu+0zT6VqDO0
3oE1lBq9QxUCOQrp2Ek2zd8tfTYZ1ke0/8TYRpJhZ+EFoMCj5SPy/p4apuUAYXCSmJcjhf/3cIG7
jC6w3pObeDl3mBwfwyCuCbIs/htyaP6W6qzxTOqARs7AGI+hxNEJFbrAnaTizYBV4Jj2vehWvU+6
xhoCZ12SVxuXm152laJNj3ZXAbeMCvEWV65zAzbpP5aTFRarhgjtDqk9+FPPStyPaHq/yQ8M90k7
JS8G1pKnEDGp3URmvyTeYoMuL1rGGBk7CZfNQONHJLVxcw27PzR0J14502F10TjxF4SYkPcFqLqT
ClVx6/qBkKnSXvPFJPrdRP/cUNm8CFt0jFAs51sElIf42Yt44dhSxJHYFwz5GGMk8El0LIpuCIUR
Pjfu5Uz4z3NHOMhp5d5DT5JrQtR8P2hYfyblR0izMpv8aBsJ/ZcFZatA6gafUmFL9es8GNP26iqQ
oe6gAzooE/NrDOb+t12VS4AKzx9mIx60ndYzvkYXtYs4M16HtwkFew8vj6cY7kxywh2C3tT4ximo
B32gy288EUp0/xKNAIbUboTD1TA/rNG/n0kYP+O6xDJQGUDLISGfiEPSxKId332IJ5F9pjatabAW
pb2ym6L7itCSPlXftVvTc/JtUGUk1VyKQAFREfMXctsVpXsWKuDLb3hdzlZuJg9GvbDr7bxqAR1y
Clzaop37hJcRAh1cSxfrVKXcBRJK/N5A++yqhNs4BwBjg4OYsXjS1duFmPJetZlzGqa2v4IAxitq
oSZraHD8sDcfPRFnvIClUcTnwL5lPONCjnJPJGN/cKh9TSP1Y2xgOReksCqPXiN9nnaMJKsyraNH
lP9pz8rDwTrMzNeUIjs6XYtXy1Hi3amt/jD0uXrTUqZvYWs2f/DF43OF3nUYuvkTj+qr7VIyzJxM
ukfpVFewAHcpCjaH/rFf9zQJbmkpISQX5vimt+ZAoSL6ceWamE8cdfTdjn03zOQJTc8+zJ1Kt1ZD
QD8x+J6asyPOozYIncZu+BsjlbOPXD/VVDEux/q5HDkoj5g1wDZ8930c7gmcGDsXd9klaYrkjDst
ms59aVSPgLbFc8z9ZVwn1dj9GTIGgWs7a/1LWRMOJ5tsp080KDCYmCEgrdIio5wzdejZqxjlBKmC
TmmE0k02XtC4/K3UpObJQGm8p5qTwG/F89Py2oc8PAL2S8+AUbu1zwudcHwZ4D65jtxlLgHnEtvt
lh7RlnzDPHJxsrEPGOi7YxCIfSL590cz994LToIJlpkpuBZBOeExp/LHtnrvk2i6taepNV0R6876
VZFPPLXNZLpcQ+MUr3PVHtO8/WA6d50982eZUm8HK7R+dYPh3TGxZXtUzy3saiQ5SNePImomMlBJ
Mn+nzJRWduy/Fl3Jobpnb59FaW300Oi9b9YUR8f2uDeX4nBql8xX+BC05gK+jrGpDg1LEt12kSPU
g/LCAg8sI2sDvLnfPSNPzM8utDK1zkx43gCyLviRmBuSVsjv87ISV/xnWAiXViNGSIKGm6RzNw7R
onJP2M54IjVi34NE0D9O9hW2dKhoNdLwEc2xS+3e5ByaJONYZJTXAnXPMWta4ds89DBzpXuamcnK
joI7xtgam0J+T9gj0l0AMxIbyEQHhQ48a6OYSXYaGZkD4bkToFHN/t3PPqv5cYoj5H0UvboU6U8q
o1uWFSWWFmU+eDKsP/h+sXkxWLrThEbOeVyqd3MgWoheiQpBQ4ZBnRBP9McsW/3iFoH9EZqZfHMZ
JK07gsLHFpn8xE4QX9w8NNb4KCn/CnMqgEEprIGAHLslhgpWlE5LuKIPTHLdR8qKp0/iejOtEVFx
bGYHeHLqOvTHQm2lRhXUPvupN74j++GZLKHkr8G3xQfKmwuKuqd66yDvMkAOxifRh2ovDTyrEOWd
HZSv9OAAkiN8xEl2ysNpOyTWeOAMaeIGqoiHwkoxw3uZl+ro1P24i/Le2WZUjr40CSe/AXcaHv++
xmfVBIcoz2PgAAnRRJqu6C+XBYaZCHfTgDvtvR6mZYI6RhGpuOIxgkhYriAFz7th2XCh/jOMs7KX
nEjrCTxdv8ffxoEso0iJ9mDu/Hgvnok1tNu5VxVOJgIaK4YzavHVeGLd5YaGVt1mPIFZabJgA54e
1m7Pk8WvUq27oOAnho4o3RSW9utUJpAPGHb/VlFpH+KMFSK0C1gEHdxFA67voRSo3B3FAyvLz6ir
T7FFbkgb63WU0SbdZ4yHrTC8lswtyiD+kggzaWYeI9BoVhzC0WHYJDJc2ETbUfFpe4o9UGa5nKcT
Cl+54fjwyL18LYJc894WI5UaRlhcY7x/ICwGb4NOMG+TUULeEAl96Tgkc6A50uMtCK2jbioLdPUA
80e05U8c4sN3NYQr356MNZx/S63skCl5SQ3Zt8ir7KNMIIqsYCWEjxSbBSSA3Pyeu0p3dqiJOmKQ
Q1lirktumCKYNcWM6qNwlza8f+XuzHYjR9Is/URMkDSul+Pu9EUuX7QvN4QUCnHfNzM+/XxUVU9n
Jqaq0UDfzORFJhDIiJBcpNm/nPOdOq+OGERS+r863desXvZwbPKdNbbNbSnKbt8lhB2QakIwjwtd
xvJnlqKpseMNE0897dq11xBtlmxyg6Rg9hEjfzB0pNh9mh0r076R3V55fJ5D6b+hElmzOPTuzXL0
GZC76TO4SOvQZHl+6yYdzEdewUM4kR0mnGn4x3T7X8LozP9bK4wP3GNbrPum7v8NvDSlpRmGlvB2
mlJdgKDW+dVi0k9WjV16PnEY9L+CqEFYjiWq25b1ErLGuNaI58nUp0OYeRvklh0HCvA3u4VlXslM
Bwb7gKeJ7PB4trA6/Uw4dcxChBlJBoSqcrybBG8RaSx0iNr6p8f/nzZa/r/EA9MNRjb+v9VxnZK5
aj/+EhUA0uufv+0fw3hf/IEUixfPs3+EV/90UvrmH+bik4ehTJ+JkomRyH9SwCyBRoB/KLO54XhE
/iMrwPjDtxzHhtflGfxehvT/jUm88beRlLc8h9ytuDVJHVjyUP46koKOREwUgOl9ORJshvms3k12
U+ygfp5F2/mHJBzfEKhIMDzD74Xsfopsln7/fjzk/4y+/qQn+/k6GI65tuuyjEJk+devQ/gRkOUq
HPdO1uV7yBNbS2QM8jlpb2HrWM2+ca5hkZyHBKm9WuI3TQikacwYoWnF49C4547c9u55JsJGL3HK
YYZJsD+RauBtJsc91gaV7TSC27b7O6ZdO0DOzQrNNlaq4Qny2a2ysUCEZZAW3VVm8gJy48YU9bDS
nG3YFS9WQWgvEQl467LHAYxXgOfjA5RTtdEJ8WOMz8BqpUdtHUj+og1JPsri8nrtuvpRKDKNQ7WH
VXNl0S/YhBKCyQfbCeKhYgeZHDhqslojGOjSucUnaGxt6ghlniqt2joNqWMecPb5HqT6Q+NgJ8eB
BKQBNRt8jIy0Zrd5kNJ+8zA8rpTMzr5lkUsVjWBhuHv3wk5eWD6eWw92uLR/V3Gy9/R3rdOfXAic
Ue+eWps4x5DSsa8CQ2qbyTSbFQasCL2wueZuCohR/qzy8StphIP/SRAwnznfpj+Hh84240MxiwKT
1sDg2J2PvTGdNG/oNm6E122CjAWk6aHIo0Or33elu3Z0gXDZmh4aGV0NxG6cYimfFqtq4syDBECI
M900qXgqPETCOA1WTvfQlPJ7JDhMdvrbjH5V1Tp7+KlG25tslZ0czYY06EIi3gorchD8p4XhncGh
d5C5sBcDvUPGmNLHM8qZ17Cej6Mj7lvXhyvsDk948jaG8VUVxbnTx+OAUA9YW7Sp5Az6pKfhhSO5
zsJ848ue3pDJitVjtZf5K4YlBtjOU1Lo+oqM3i9GuCH1cLGpOowEpq4FRQpVqWe0GdLcrJS66Qkw
c41pDWvmJS2MR6t4cfEpXFIsri9QZ4nfse5COS6bGMTqLfT0A+38BpkOuXpwq5py38fZK1D23xla
JzVfavups5AGGQ0+DpOy0+zdCt7qfKij9MWiNt4PlD8ESV3nkCW7JH/Zgahji4ul7lqvPnF5rbs2
tleVpapby++gU6DOGJz42sswxw7T71kxwnnppb1JSjvbe/F1jIzbEqR/6x867m46WtpLz78m5PUx
wpYv9dzv58z5DGd25biqV5lmtKfGN2BbRFm+ThzcZbLfdF7yaefetsmuLDPZaRh3RVEQAGBtc31+
xiG8x4ACJ43Fyjw7LxoxuBbdO4+Gu9FjsziIBYcPAmNYh6NzrgYD4rJ7Kc35KRlNG+yY+5agKVpn
iR04s71WSiABkhdKnh3WynWJ1+QIKTuImviXM1pXI0yX14lpqD4A4ejtS+JHB5n572XWAES1v6rM
OBBjdKd0uiYLnMQW59HeLvHs5I2WbitXehujTe/haBKNFOqXSLhoXYxrCxhK73Q+eXrXiNRsr05O
WP+njRMKqh9cPhiWENM79tVuwzsakgYkWP0IDmk3xiHqR5v1HyfNZ2Uj0VfOc2EUvCtdvTFT8uY6
O9vQ8sPQa58IIb2gNH8bsAftsWfE69r1nudJPbgTWXvSP0m3P1ZRuBqL9lHX/Mssmrc+t99NyFtD
Fd7qQKFIJXvJFDTHvub7IGtaaVXQjiqY3cS8V5Z2T7TCQaI6Ip2vvOmJ+oBIyE6xsSq8KMRE7V1v
Oiz1nmmK3YwfV+CaBIT24UUIHyYVHog9ME9NyJtfNkSZG433G1XEs7QlY47MChoUjSjqarLd8i5A
YYiP3Cj33ux/mANKzKYju9Hv9V2Oh2FtptqTWQlS3Sm8eMPOvTJeGr/8ZFFFW1PAgUI/+JEi2xt5
D1dxP72NfngtNe8RAtSSyI4fnsjWLnXVrmuzk1mhdIys302k2Su9jfKNkUBI5GPVqOCzxdxBQAOd
D8Np1RY0y5rlrYnMo8mRYSD07MirdwDl87N3ubb1iMEvjrIAX+4JuGi5TqLkq60If5nze73P6a21
6K7Lh13j8jy0Hp9kFrQLuNEXh2q2boh5CcibxTAICddL9hXYJV2F+FTeBpE9hUUXoD7eZRBpoFyR
Uc0hpFfhtmdCUrfOpq7emWifiX5+GVvjIHN/0+fWEQ3Pfhqx5YtyY/hjDg7LOegJ5K+MeULmPuCy
3TS9tVfJuan6F1UgVJ3yvc+T7uXGK5EyF3Ma99myx3P9XdKH2cbuwv2sxfNGju2jE/YfbTbAuUIs
feO0WE3bDYFCtB6CTogEmnwge/xWkqtR4PQijAD8wCxOKHy349Lh+ymvvGa7V1vGv2siAyF+Va5+
ieV3Mc5nnbUIvuRVq4vvPqyaAOjMZsjJShUuNufkOzHLrziyLsLpz8Jp90kWPepqCnQ0gSu79V89
IjPS4bsnpKtRHJ0ImTu7PduN5CWsXnlFnhtlY4p9H73sDcPge4R1kTC320EfLjj+iYW0OV7C+GRz
aM3GeIce+cad5HnAjqLq4gJX7b2IiNlRmvXpu815HMx9JdXJRYQELkusU58YeEFipjF8DPPwGoPg
ofkjRCH9NbflJ4O7Y6ydvDokqN5cMde2wR/Up87p1syt4eV5ZGE8mMWN4FCIJ7TpLwvZNSZLByM6
JhXmPOI0p95hIv4alf3v0RsDkWM6tECPWlW/c2Dmjcwy40w/VYvoMGf7HFnZXYvTcpodFsPjOgaJ
RcbMGwEl+a3ZPaVWhgRe29Zdeq6ZExpTV63EmDwzo7BXGu62MubbSq8uI5vB3eUSsEHRfVm+PMZJ
tke0BzbUvGWNb6wWiZffJEHUocqQxIC6znMrW7KVBgIALKhx+Rg/243WsTDomQKmBcZex7qb4DKu
nRjjPntKCpuqItFqFDCC2pssJfq9R7taWvaVueJblCoCjYYXSH70a2TkuFb73Gb1vprS55R+07aJ
6yFJOJIUMzNBjuZq4ODNQm8t7OK+qTFaht1OGaQHjRqE0tM42SQmxPLW93nUAWT60zdILoLY7/rG
v5kK/xr2ySXtbrREbZzcXct7OcfbqtvGTnlpwqrbaGYr8dzH3B9JoOnD/cBVtFGkUJCAOPtPKPtf
okm/Twad88DbJRH8kGwHUWs/JNZ1zrxt3Q63Ui/uRuOKizZANDnOyTtMArSRP0RfAu/Sz2nq987E
wLSGgaY1EqJrZ6ynxvn2y+eYd1NV0c1kRKjpSNzxaSTqZpv0t4mhYKZ5jw7Oe49wmoQYaV33hw17
e4yl1A+D5r5kvahWqnlGSxMgYTsM5pH1w5pxKBQFSlIZOjdN4TygshjtICJ3bGIpmTU+U1XyWPSi
eIp0WIMlmvwb3y1uByKnKS27+cYNy+xUe07xS7NjPyijuTqEoWipIQmeeiXWsnpuWKevZsYT65GQ
PWagvXf1U90jQ1WMX+NUZYGFC2zHiJveYXbCcR3CDDE9wrUq6Dm/nDKP7zxROEcdzCrijswp9r5Z
Z8+V63tBToDD/TwKPkmtj9+xXJOukNTMGVPNRn5eR4ycfM8c1jEjTpa1DHxknhwMV0V7F4fFb/5K
7xeL3PlTKxxwl7bqd6GeGg+V04qtQVLuxYtVe6OXaXHUNbd9oN+jPqYwI0+CudZdw579kd2WRAvS
cLek8QT8o6uP1WhFh0FT5tZtI+64mSVSqAzvEDUazsVizP0dVOfmVFZpFHDX1GucljPgsLpbpOvh
Td4O3Y0/uGzgMhJAnyX4sRu3AgPXW66BD12dKg8zOks4PX2ovN591ltd/aqrsjni3GOP7czRxZJz
9UaKlk8yatk80ejw/nhdVHx6qTMAahD2hHQ3Ti/W2NuP2PbISBK6uusmvz4bU2vfj1YqL23lx8Rl
PI/4MDpvZH469/I+rAzrSbMsNa7KRJnYkrRpKxuS3K1Z5nft6A5nTLDureLCfI8ha+4LvEhHg5XR
J+iK8oobsb/aRt9d8sEgUClRNT0ku1w/AkUTEwG6NVQZ7SLq+pUj2N7A2AJEEQK3rKy02LECqnfF
0mCXGeJ3bLjYobJ8YlIjYvsF+QKZDhxP7ynwz3MtB7G3Utc4avOsOFOgHxd5cq3ku4yZXCVQPtF+
q4tpkp6FkV+NDx1PpgJ52TGhJ7yn3IBl/WVD9qHj7QY8BeH4GGrOk1fOF3imb06S430tDlBN11ig
ofH2yV5zJPKsNEjYcgS2yxAagNHG0vzAVty/uvs6aQ3BmymBY4b1xW5nDQTxw2ozRkukPEfZljVo
UFK5cTGQtUsiKckIZy+ydIR+7QuegEfw+4cEv2NuDRukwOs4FXzF8Jqys6m3z4bR443Uulc4oGh+
ooSKsnAeR2t8CjXjUmOzxYjJlDzObpXUDpGnLl4SjYfaaKyNTV7bvihHoohnwukY5C0kO8DcZYDp
4oSfGiQMbq6sS0Drmvip2n5bdpq5qYNueBniesG4HH0gtYnvMZouv+uye/r3ww6xSCz/pIXxLIek
QjaF9Jo2zAdA738ddrCjomKynQkB7wttfnKc5SAvckK0qBm5utGdsjnLKprvOJ/i+ylx7Ecj7dJL
G2IiXXVOObJnGItP9+dVyZa3Ri3vj728SfHyTmXL29Us75nx88Yt7x7pt9nDJEoGKBWvJtpqg2Uj
b6ta3ltQfN1z+PMyywhW3ZBnGL9D3nW1vPXe8v6Dl4kCmN8N66aO5GoIQdgeotA7pGGmNoAXwitm
HHNbL2eLsZwy83LeRCEnj96Hct1Yk3hc1Bcg5UAnwKKOsVynVfegV11x9NhR39TINi7RTDfmLyed
Gdqcecvp5yznoL2ciBA/jN/mckq2qk8OMUBIv8YLkv0cpsNyrmpJZAY4cDlsh9yf9irzCICsqTNq
XWGtSCHQx8LMnkcR0zBME8e3Hk/OsVFTfGf5lfELUIIMsPutRc1W0fm5BCo0grtpuRnYCYxf4XJb
VMu9kSa++taXu6RdbhXmOdWzsdw02Le5dPhpVofI4SZqljvJW26nbrmnQsB/Bymr22q5w8iPQJvH
tYbNgS2BN3fzF0PCo+f6BIA1ptE9Ty3afU8N/WIWzFl92y5DLZg86g0kCKJWJbx0W0cMoDKezWBw
QErMBQUcQblg/Unfdru8PMeAzwKzNuMzfi1+PW+2NU3b3sFZj76/dcMP6yfzs2JHS3OzRIF2tk4q
aNL//I2ipc93C+KQuKc1EKReVZIo2pHxfK0Q0X14jWmSvcQhsWN5QL/qGBaVQtFr5bRCe5Z9Cr2+
Ix0egAKSRRKCYmicdUu3sB5+0oNgiuKz7HEw63Ytg7Fp7mGj6vtJs95aHBmrQWeEn8zUlTOPLxIu
+OlKBiTNPaZp85j3cRFoeII2+B2L86SXfcAs3P9NE/Oiebp9EtgHg662nka07+tRM/GoFmPGCRt7
a3A++b03Odqtl8iMPTp7HLZwCbQV9C4OgLab2HEeEyN99MhoB/XoZ3tUdd16KPSbSBh9UI6xjLeO
HBeaRp5tRuG8J4bOrMRIsKZq2Tpv5piqOBsCLEy3LfXHair43yceDFj/46s9GCxabLhmGGesddZW
5q5RRC8jLVn41daOjEvkE+VEHLne2FuGqYxV9PYjH2CC+QwUdUcumXHTU41iC7Zw+TDBGL+YpAnt
rGEA5RQB+L2NXQQseQZOp8c1C0zEMHYCkvXWc2c8JtbYbUeTd63ymGuGXUUHFil3RbD1+8Ty5aCM
LHlN5vLdNnIqCLtud7nr9Tu2lzBc53zgsSKEnoUNHC+jI6S9xj2lQlihmGPYtqW2xe3oF5QWtU47
f7Ub5aFX4yVWMS1/7IXVcxX2/ITV4rha+oHOHyFvWvYhEjiNoHUJ66nznPJY9SRaIcDQ9/CHkxNR
mF9G3RWPmcnuy5McKNiDv+hivtl0IiB0jLU0WJaaWmSd6wrnVwXDg8YGpCr0mhWoDq522KwbqgKD
sLLkE1TMK2Qm3U6JO0CQ0pukTJfkjBrgxlVWfjsdy2CIL5TCBDKSmp0LFq+uGdB0ROeuNceNAL9D
J0LjMYJcX1eIdR8Wt+oTfp+O7tX4JStdwBRJn9w23xvsgwL8eIiP85qYRURit5ErjsqdcJwI3i/Z
cklUGuUAA+nzGNomNGQ0EfukH6tDbGrscqdofk2JOiWfUihQoNm4SLFdYO5pP87vYQKxnACaeO0O
OfhCm6EXBpH6g1ACcYg0FBrx5KeHvEdPHOJbvI4dsRe4RORnyPlzNMzG3culoiL/zL1tlipLLPXW
9FN5LTWYqfXI4yay6MOf6owT13rylpKtXYq3gU/85+L9n15Q/f8Xa8NaxwC++acyZfPRf/yTPHD+
KMCI/q92KP+1teT//AH/XGi5f1iGTeIRayuUzPayufoHHdQ3/sChYPm+bRik/bkQQP9jpeX/QU2M
/sxmzeNbrvmfwTam8wcZYyzH+ONcyAau+d9ZaWEf+Ut55ZLK7fuuTQK3MOnE2Gv9tbxCHUCighmP
h4XUm7Kj6LKL29lDvxHEKhKZKIc83RcoEBiA1Qtphhkq+4rKjU1S+6w0cAz4U3Nc2kBB9QwZ0SgT
/t2JLnlD6+4jOiO2ow1I9ohuyG/xt6XdmnrQTrqIznSGBdW0peo3WASLr9dIWPZzZkScHxHEwMDk
O3jupsjaGj2rezIExoA5k9kuqM/Pega/HoSNhdhIQ3QC9sqMPCQXkz/dERyQJnvyXMZ5bcIbNPeN
xPOKDZjJIQbfEVuHCWl3ZUFPRFeKo/JU4gXC+SYZCMFfcC1SOUH3scdvOIOFV+jfcaJXc0DIpN9v
LEuz7ktGyvkS+RG9NhZWYABrofolHK2/1kTcbDpZlMPaS2v246K1xo847eSBFWhBLVI7yRvszg7m
CsZCYDm6jsTXWazT5o8ltlyJ0gI+5bEL58jGefjYO6Z6NabIQ9Y6m9AATb1K9qbnDuiwZhrrlaVS
4n3qzhUns2CvNMlZO8KCdnfNbCXzWSTFQLmIHgvnqaWaaGv5tfBfRkJeDqqJISTkvs7yn47KbHZK
GoDAVznZXcmh6ShtLt7yuWRBMwuCwdPcjUERQe/MV4jmUVKhjnw1O2iRncKrgIf+MPSs3siGYeAa
9daRExPdSuZBBzOkBORZuPFoXCLXYxCGCBBZzkRYqxHiq8W1K+/7RP9G4ayI0kRYPnVmeKg04INa
TYfYNoa5DYeOuE6uyLPvuvGKCTfDhNnqt0lG07mKbGljEXQmi+N6cB9GXx6mWjOIs9FC/wbIYRFY
afjQpV50Fvn4YtYCKp1T3rY8H2vSxr6oNheJ+2GSEZEHuV7s7I67GFZbEoi5L0+RKcobh8fmvhC1
dqCWydapgA2RN423YxDLXVjVN4PT3MYR/lMH9ivmI7BVht6dPIvNWzkSDJXHE5crtNIvCol8B9O2
eElgF55HkTGWGs10HfmVImk1Huj3O7oYr3YZOw7VPcOQ6tyWksI0s+dgBp2SrmSsh09RLh+yvmYZ
0mfRAUQZ+wXXpYtwYmwsfoUMWwqNmSUQESMVDw06Y9DU0bhm0xpunRAonAX8dGWgnF+Nob9OjH44
NSRrI8qkngpSZQ+PeVxfR+qZUYK8Ww22QdIoJt1LGDM4Q3jTt2s7ERsbZntlm7uxadeRGu8tHZg9
Nf0DoIDfw5Bcs8no8a4YIEd7AqnKtHMvfc9bFnkoGePFK9rIrHy1iOXmMBKP1sjzrwrCz4vwKzfi
HasC/8poQP+NvIsnvVqEZO6wMjClrfTFRNfCiXPL/jgU7DyaSeMnXyO00YBFaivc1lijMAVEoU1R
JnINxkfvbmdVdRAnwS2VHfE8aJtAGrgu3iplz6/kyBqMzsOZOFur2QlSTE8eciIgLNr0kOG0hwCe
3uR24eKmyUdU5FjIPKJOgoyOgyF30gWwyplXOMV8nvtssDaqgMwRG8ibslEbh42TmkJfW1bJJJN1
Gfzg0FTPSIWZEYpwOvs+iU5OxrrDj0kG6Jv2u26EYH3vNUjv6R1iY/KD3mDRRBprcbWBNLPW7sAu
Y4T4JKKs3FKrMVyMJrtEnaQTUzmyf+JJWKpRXOLMOhrvZfLNiKB5VgL/hdLBsf+Grqan0HUHG4zu
6qbl+mJRB/3J+lhhv47TWI8PntkhggyNqWDHnVTq0pWFeJoqgo1qSusM/1mDNraEQvhYNpoKWqwR
XwPOQpQK1WQYQdYz9NdMJ9Rx2vPTX8MM4Zqa9MllIeayNQtMBGcAFTwjPthD4U0XaeUtfnMypp87
R2T3ytWRI68IPhrtYw0a4zTPQ3aNvZgjqqkRvOkpAoV1b/bdpyZMAm/s2HkBfoC/jXGWWLmuZtMe
Nvzpy1R2Ovlh1h2miQ0ZKtfyCJtCbvMYmMMMMWRvS2ByBP1OzGaGmbazinjtw/7ZT7V640yw/1sY
EnyNY94SH0uUkaHZ6daV3Fu9R5ZQZcEadSZgn3vPIUSsYMk7MZ53DZNVG5BrCEO6sotb10ogT7At
X+nDqP2GJKduiGxZYlkqKl3mq9p9ljmoNWgVLoXqxLUTcfTAUjGYBfnPCdlDK6OcWV2PqVFdsJna
oC0hHtm9Y7+UWi1o6DwEmYQTbzEIANLWVR/UetxvReQ9xLa3LIjey1QdR7//oIfeMWUCy0rSECuQ
zxHusa8Z3i0eDJgi2txu8NN398yDwWtXfHDUG/gRdLbC1UR3XmIy/TAam9lGbhEK4Y43tNP35jQk
5xg5MEkuwrnSzO5dK7QPXCvZWu+d/Bk1bxUC/BPAZt2BMZqquzGoYUWu/KItX1PCtTa6WX/KiQFj
21o+UE6/3Bs8mxcgisZDEtm/3MqS9+QDtd9iGoZz16PE2Wpe3CFAne2QORGjweimHCOf1kpZ9Wtu
OWwlSL3wLfTXo32GSDCaHMq2LV+ItzOGjY9j50OZTvbWg3aZH2gjTHgVtUs6huNHzZshovjs1b04
YxlwPnEBuxADxkEEkS20zzFmoLcunHFal4gzyJnXUWHH7rg2CR54EELrf4mclOLM9IsHE40nwedR
Nu/QF4z034N9cmXcngZYQkz4kzJ6h1kS3etWb53wnlARNCxK+4HduGPJJHAcFsJNhnfWSoTzQVWb
uVwnMjL2k97kN8nECJ2fphHrxJxo2f1UNtPEwrRmW6O3+BrWgBR7NCUUHF3AYcfSJJOy3kScWDUd
3IwEeYFwnIs+8vk4zZRrnyY8MEqtuWfcihpJN6zfhLENe0ovtk5KEPYnakxZLGQBeks6zj1pPjOn
n0e8YDANRvnMFCs7ZSoTZxjjI1Ii338daBsfE4hI26YNo/tZyyh5hN6WD3wZ2aMxz/x0m4SraYYp
deN403iMGwsvrs3w5zbOcjj0rd8go2A3FZit+abqkmEWmpZ0passfcv7xH1V4fQ91oMGntIYRzij
5dZUCVfXZKe4NzIl3wkhadHFyKGhmS294qPT4/HBwCz0CtyWeDdykeD4RZ0Joxjh6rzHbyPe56zR
N1xKYGP6JL1PjND/qLtGPhqWLG9T9Gbskkqzoy4hqpbpug68B98uI7bFeYhNeHZ+DY6F/FQb8FcI
cGIygN8zcK/SqU9rS/bqXfdajSFSjQCuBJbnr8wyzI6alTYna1hiXWAQfulFOwMx7TvvBWN4C2fC
NzVxrGBb0GmYevRqDkgbVnktk2Jda23rrHoui7clbf7BnuAYE3skIGw00drrcGNuOiss/bXNJEeg
YIN9wqHXDRtdjTLfVCGoGqTqk/nOoEyxJbWm+BMmL85n0tfHU03WMqPDENhGTjrHfPSosXWjzqKj
khwvSK569wtFinEbgjm/gQrcZjtXmPMzrHCT1Mre6PZ2JLWnsrNR/zil91lJo2dMQQsFhVRbmqdM
Iqz2I17CoiKtaeU1PCPrNiqd23msjUMCT47+RxaI3Ps+IlgT6F107ZkuP/Z6ol1UKjnsXT0GAybn
XPtGMQJtpyuQMSNs0e0z8EuHdiEX4wl7B9p4TG+fkYaaY8sj3/xWfZQdjMYJszUJPNFrKZPI32ax
y6KLfuPbTEawK0WUN0HRJxgWmsSV+LnGbAlLyZpno0jnaa2VgCBzth/A1EOPaM3MU3BPNFJL2bnO
/bFrU/+SAgm55/MpzxOTtRmpTftWNJMRkPtelht8tyYbs6RB5ozbC2yjR3DoOtRQGxnRJA+tRRQp
zNp02qS2baTM+iqexxS/9AX+W3IZmADvG02wqJ6sSOxbAKBwDNwcLhdez95cItbcivy/HtpliRV9
ZVfuk6EZ6pM+hs0qnh0LqlOpkJ4XYdKeWyWVsU56X15VO72auv4wan3zCPuTTToU1uoy5LpeXcdM
EqU2m/aHM2solAaV92cm6vLQsDkNaml2r0Mjum8ZocTaMMbxHiodrt1MtMGzwuSIH3B0kQO2wOsA
fHnxkZToEgZoWWunqPJNG/u5Vh7iKGXiDQHuqR0d80aVAiYX+BM93fmDNtJqt950RgffXlysaKs8
buZ7JyHZA6dxh91s9N5cQ5cPmBmXAA2phQdaJSfaGlIAIKTebLd9o4rNPPB0rk1TVe6lYc/CC8Tg
Yz17o9rpzSQ+RlW2h4HUrLNuLN4p31WLbR7cKf1kTQUWdy3qPr8h20NrgVIkuT39cqHrf8FOg5w1
pB4o/GQYl4qVc+KDdnZcDbTwaPFtp9mM5ZK6IO0JhyXKgudoSoni5CPGhef7NfIyUcdTt2ECTfnb
8GLDWxmRu2iu1xzSeegfLdZ6BjIMWVGasTFm76hNEGUNqzl5miV3eePAZfUG+VpXIsxIUSwcnuF2
OTfrBIwyo3LOo6aXfXGts5YqYKQTTnaysRT1hVuRH+hTFeESNKtAsA7kYc59bCFNHyEwmcWx88CL
B14jybD0gcKjs2y99tilOSACAdtL3Uw5jPADe4s2DrDqqvfap2zTgSk/ycZvftvZ5B2QlpUvNlbU
Z5/ALQW4TZ92k64BUjQsRCaOHA6qZBLP+H74zoyJbXUoSGZacoty1knseUFVh90WDaK240pqNn6G
WWTUacYKE/+uihim4M517V+WG5H/6Pi1/YgEJA9KkyYywhLn4tPaKhiIQdn588MolX7Omc5sMNaz
WQIaotawjKr7zvHDX0RVmqvEbpuHXAf2QBYpwWxD1Wv0i71I7meGUttOxvmL5WvjOc8s+VjVbnmg
dSR9ns9avyTu5G38sg5PXa7bNyMv/KPqKf1bLVf7yJXMkaGjfVco5y622drwCchkNlLrBoGZOEgj
7F+jfrSOjK3hZM+YbGJbDAd2ySUbFqiTZgZTxbUfqMnbu8mVrNyjyLqNYcDv0aQ5bzo/uU+YdNGa
HggBFQaOTTgb2W09lMm1cxX+EZ95fFdA05hM5gxdaEbf8JWfQqktC+Q6KNpc7KjtJlzJWhQoYbe3
fd0TRDeXuybrJpbffhvEVZNtoJlSns4eLOTeP5VxPR3sLvlluKSZMq0AjNmmLGBRS0y2OdyYMVm/
IJ7yY+jBSOnLOFlHhsyR207labYasnUwbS4ml26PFrDf92nqbrSe7RffT7d1Ewt2ob/Dt+X/w+vw
Lz0cP7r4P+vVQddANwKsg8CVHCLnb3p1jeO3nDhIDnjsTMrOpUrzBMBPIh3QqNg8QmoNZwem0yBq
8mgx607Y/uV/9YX8HaVDP+myNrOX2Sr/Ed7flskt6EAklq48qNaBxtr1n7EvpvmOFazfXTxo+M41
0zNXBPlcTPdk3dH/sYLujUCNvN9Y7Z8nadrMyaDuE5ORAn7F3GcXzYdjz661sTqNLMHezK8Ilvjk
HZG/eo02M5ZYBnL4iYxPt5QlgZh0jS+MP7St7HvxYI6T9quNQaRlgxc9uboYlhDCKHntE3Z3HHHW
ydcThgLeqL94bcSDksTyrqmc1NswifUBLqCQtMA0boRCuMmMM7pMFZT/3mv7e9ct1FGTUpyGPOI6
LO18K2T+aopKvwORgK7OQK6zDC3dZXxJgAiTzFH2nJCalplxwMjVvsdZztgz+hmBurapf9c/g1HT
av43e+fVozeydee/cq58ZQ6KRRYDbPjizaFzlHRDtLqlYs751/uhNHNG0uhovrkxbMDAQINGhzeR
Vbv2XutZ7pvrOd4NZvn6btaz+cxgvyIWMqHKX6VLwT62qpMbrdFZRl06PvrEl0fr9Et1z6iGSt//
UvWPX04AUZ9Mr4po0C2nVO86/nJOMNvCIvGcHa1tKvyd1pfjBN0k5yWaI7IRmGofjUA+aiAdx3Ks
NUZT3vhknhDNxX4BHWM5s2B54/jiLSeZbDnTOMvpxlvOOQE2iXBLSEx2HxeTv4pxnr5ay9nIW05J
IPzwzJeZ2suqpke5dETXrCbGx/TLIQtkOoql5eTlL2cwuZzGJhx17ysRckSjl8NxrfRDOd87qkne
K5mWL8qdBZSSCTjjM7EQvEmqSNVVO3O+3A+2Qy+cRnr5Diy3k78ZIZa6bag6/RkQalHdfDPM+Al6
Rf7F6EK7xWUqIRXuMNv05A+mqy53Ygb9bCcRtdZlaYz6ohiA/DQ1zOs8E96x8upsQN9VBHBjimsv
ReYcEpeIat4ZxpPTarL6qhnuKx0A4sBzWLd3nHpIjLfpk76rsx6Tqo6s6t4eKtDwMrbpAQKUctzx
OkuD6yElfJV0ELO/ML0MYH1jjcErqajWzolK54hbMbmVPjDTanTiEyyue7KqUawHNz5B5hc60Dh5
rWCHte2ee9y6EsDrOJj5a8ewYY+4kVDIsNXcsWWjMziEUaXIgXUoUNk7xKEv3fTGcWJxYxVmb28L
JnsPJhThve4RkeqxQzFUWAV8HY5tzRWLS3XjEQa2a6hk2o2itzyQdwQZaavGNDnNlcgq5EAQFziA
l/mb2zXVUjB3FJKqvZF+jyVHgwUsLLJsbDVjmYBEDAEvdYP3IVOF96OakNEOWVHvghYqRZQx+2fX
tV1mFnG7Q2tN2IinuOVsGOpLILwzrhYw1RtUIvJKGXMHSNWcnEyMxgcwFMo6y8GL9D65JYjlgx4b
ZWbawb5FRLuFOWbcjXRG6BTAcYbb259IWB3WUkTmFa3FmauSojON0Z2SCGqQ3IEjlD/Xrk3Dy+9I
dvFw6aiyekRYzR2gLW/Vw0Ak/r3sGfd3HVvarPrd5Fbte3C00YMRNvKpAuN+CMQswnXRVyxN4xDf
zk2rN3VmW2fFKrXGL9ZukeUwf9ehe+OGZvyYE0fBKhr6ZCx5vDOnyBJQBzJUPhdTMos9GGocMERX
WBdlVtz7/lDu+pQGBZYkdqI5bOxbB+HU5cAQFndGLZBZI7dDuEIcCwiPchkimV/mSWY7YpoPvsyZ
xDJyqunqzmtdLpOooEmZSvnRRPCtk8uP5peplc/8Sn6ZZDWWwkUhB/cp/TLpyoEYYCGJBk6fEas3
EC8nKd9runsR9hHH1FdzWZpiu+xjb3Y3jDWnb4ngv12mbXHRD9gx65F/ORlYzmU0dPWxTud4i2TH
PFayaqmrK5vDdefPtJpaH3nVIfYc2BQTDQy1qSOzOFudRT1B0A493XFp7ybKfFd5pfJWLeJYH+FC
vdwgiFUmYnSAHsxLFKvv7koT+jXPutkpBq3nMWRE1BiFOiAraF5+vVAxIP1GGsbs0jUpLFikbNRh
pmUvs81vusOCznxCS9Q9+lpdaf+6SuqLsr/954Pw/9qU+6HI+O9/LiP216Kc6oguwP/6/svm69f6
U7EMlb/7YvsFbX/bfaqnu08N+v4/nIrLT/5Xv/n7mPrh12mXpoLr+s1b/ZcB9+kly7p//beXrPwf
/zq/NGEW1d+x97/+/tf5tuv8tkyRbd+FUURNtUyYv863XdIv/aX2c4XD/xyPbeQP9r76zbTYYTzX
csHffAEr/kFPXJyejjShLtqWcKgZ/8mA23a+v0gMMK+uzXamfhgd5LLTZgfvb58FwF4NA1gagh97
XoF36q9KO3GKrR8E5GubxhDOq66xky2g5Io+T89kUetqN4WuunLyMaR7hFEqDbvxkAJi3RptAEqs
NLRJyKIye+50LPtDYKHXKdrpyGHKWqWMQ5/HBUzhwhPaNhQACPTr6trsZPKs6wBuo1sQT7GgLQYk
hGdf+/4xnzFwWAsCI8vD+gT5yl4BiIxeMHgQIxhBgt8E8ULQaBaYhrdgNZIFsNFPPalA5cCSMywA
juILi8P1aJjPHc6KpUXefmK+CrdDLQiPdoF5tFMVTeeq6qPzVJP+VcrR2AVeEewnSCB2PGMr9Tha
4h8h4YbGXMK+L0t7XywgkVQlPUdk4CJV3FPgNfn8Hr5xvB3n1jqYC44kccPpoUsYQp4b3dCr878C
TFB9LWjXTF3mNc7LUC7Bv8YQnFXslh9tUOuUeKWx8TTxT/EXXEoDOAV9avKMKLJ81pHfHcQCWHGh
t7hroUJA2wuIZV4SCtclANzXzuqCk9WR+7MPXc7hK8hu6jgYPaxoGUfGg2Fk7sgJyYVribjX/ww7
bz6k9DQXvIRRnx0CTV6MMkoUZvreZzLYtttIpILzX8xficqw1OvOqtstZHOGDrMlt2B4zc2cOtMm
XH4ST/GEZzTq5J0jwexXA5/CRtZW+URGKcQBj+pOPzbWQBWa9RJ6+eyQprlmwsxeYCeevs4c1zr6
WRXeKAkFxCzrIOTjLgY2V6MuwIR34XSDwBSXLKi3rc2flDc1T/Gli0cA7soggiGfKgXZyEAVtiSE
74LZZdgEkKk+hrYx7TJGjJ+n0uE5NYQMQG03Q5+eE5cKrYmhknco9oIXTH2Jx2jW4J/RlCDYIkJ3
Qn/yYaZUZk5ztGVC4hb1bSFliqDDL81o180IxSRE9rvITvVnkh8QcwcF7ROJUJwoTxPIETO3lm1s
mKn/fC/tOvYnQ7yB+ZpeZlBDjxYPqzaItqzPAoQTt7Reehl4Pxukkpz6liltg36jxKnQgy7MPQul
nl16Ky+VRYF/StkHX9EdR1jlevZNGJE6s4GhoPMtnVVnwSp2ISYDr1b3ZDUlA70mIwOrpJpcbmOs
daAVxk58GqaKsOYWlSIs71kTn6hzd0FoB+pkTvRQqN18/47jzyteOBvVX0FvJZ/Tg4CEeTdqBcqw
00gy0WTf8KYAwDK9cnwajRi7tAVGgvzN5FhOQbuv4Yfh1HFa0sISX4IPbZh1W3MorYVUweeE17RF
jT8DQVDsUP1qcvyO4ogZyYHaTN/jtyCdoi/9T7VkuM+RzGCa6Ebhx2iOh486iPudUwUThYYebiL0
3qeW8eBN7CvFJJgJIvFk5mR/MOrJ4hDmWhSP2SyKi5QPCc1KoT/wR7IDY1tx08QmIHDb/wBdvNwi
Ilra2yBhvK5W26j30ouWLsgHz9ZuDINBk7zaxGBM24ADTskIZx1RQPRrMzEjlB1gA45w84sTyo4y
3SC05FNrXRlc0MwYD5PDCDOsGZBtx9ILLlRD3byujeX8WdVuUy45BeIFNKj/6FiIPeCc+3fFnN5O
eQ5QhCPqqre9fKcMD7nIqLrywVG9f85K2mfatqPXQob2qUPCAICpE3trASj2MYMqmjN4mOYiOcjI
UJtUhQMqxAqT34DvqVjW9HzCKonnzzg5erTfp3ixgBmFdr1XA1TpZEqjK4N17zITjnntN0a9SBz6
jSjq5k6xzt9Uug/oYBfeuO67pEIoHNo3TmczdmqM8JOJvRlFc5T0286T/nnOxviAoj46dLka9rmt
jRMnT0Y6g8wLqD1gczflkMULpoBGtckxiQkB5uU4yaK7DMwIQpf2lkqRJDFWS2Qs0PDle/Zt/1zU
0AdWSk3O7SzguaJBGap15Yvs5LXNlF8DIR4hYRXh5xjD/R2InOBBliS7cHeA1NJQBEBX1vaVqWX9
MmSZ8wwphqQ2MXtriubsYOMTdwl8Ng3UvGAzKYoH9zYbLfcirWdnk1rzcNHXhk1gS+jC+YvN4KQ1
Q71Z4PrmABDtdEh6bmv0Gk+i2bY714jTO+U22TaKAkzAcxnWnyCVReGVZET2gozEBE7LOQElcFIo
1DvjeEEKJJP3ifnvBPn8Yvay/r1sdLwDyIlGil1sj764WNZ4D2MEiZoJczs7h7NrlVez56DKnv1K
frL6AjW5x/K7qAJwZXmIhavOa16DmRGKOedy19PpOM3e3H3KwMvtCrPp72vNNoSfTiW0PLR3Yt6V
vKBRt+vF7KmvNeGZCNjSOtpVSllrXTvWsetsxt5N6XZnmjvmuc9AujLw7Ygmi6P9ZBesdAa/c4xM
DRW1Csab2AudfTuDS2oclCJat9VjMOT1OmM7Wet8Cg4J7fS7QdWQbr3AfWhiv78J+wHoWDaxX1Po
nj3SFmEv5+QWGzbFAInYxGs67gUTVv3xn1foP6+9v6vE/2MR/13B/n9Jhe7QePlVhX7+hCCd49Kn
PwOxvv7K70W5S+lNFJJvQj7h4jJx1fxelNu/kQbveSwhCnG35f6pOjXlb67wTLQF7JEuifScEX4v
yr3fpA3wZAnE4m+58p+BVKSz9Fm/6Qgj5fEdBUKFmZnNPNn5oTj3u9gYkgRdF1ykZQ7OpkJLgngT
0HbdRR7TqQZgJc8OK+pBZFZ7pHCGd+BlfgmYyWif7cHGfJkD8nrnlPWg1kLkxTFdckYpGhLPZQdv
851WdA4RmDjesXecIbqoVVW82rPqzgA1/PrUwfyp113BHGqnbYRNaxvuGeQOgzzbVROVi4eZ8yeT
0FS/5SVy1Y3Xe4618ay4HlZo1GlkMFse8/NgJC49DlY7IAVYVtUsgvPcVHUHelo4z9U8yOcAzA1C
SWO4LmD0ATaeG2Pl5EKfetNziFVNQmaYlD3+SZrEXzb5kBMAj0oDbrad2/1JUvgJtnRIlidnCuW9
yIdO7RKO5emmmuZqEc6aBLcM6KrotyXhGFyHLuFHWxXO2PaBtSNpaaCrDtdOn7nNhXRsjOcygEq1
JqHepvMcm8wPO1fXAodpVlKyYruRnYE0TURTfVFgbVMA1mEjr/FuKXiqQzzdD7Nk4B8kMgp3sC5S
VHtRCzx3YNkB6o1i9BXoxlxSCHVpsZmahAewNdEnIsK0lSDEPPDJ2A/Ci3tCq6lEArqwN5jhyaaJ
/Lget4y3i0dpWawpc5yNwd7RJEvS98CgTA03PokycW9ROTivYvTYnDunU1Dxu5G3xkMcnK2G2MFU
qxr5XHVR9+xpZUMjJr3FW3siY0mnscQMCMjBvR1mFboEr0JVVLYcFo/IG8JpyXceQVHzCBvVij7b
dp1l3ZGwUjD+r6LbJrOZbPYmxCpThOBEq1BOADR8OVxBYg457VnpRnM0+WTj5F7ykBV4bdpvI29B
MPtHuzfiaVOpSAYbFBMmP2c6HyqXM80Ki5eVrHFn4w5xMru0dwPMX3XA5zcHhM8CgIM+Ys/9puth
d1QA/GGGWAsIh9Z2sqEYxuhOSweJrMDd/JnJ2MgMb1Z5sI4EUuA1iSm0NukudbuARgx7nZXD0uhH
cEJIJwZEOLyw1cDMyoSuMZVoayWxlKhBkzeM01ocvQz9Sh6ort44aVzkcPjt0GPCaLUZfbfI2zRu
B9dt1aeZNOSqsev4qcScl7odB5SuHlzUFwwhz0LiYya385Di3aCqaUT8lMtB7O18mjHc2vOF9jG3
T2Evd9Uog2odJYM7XE5+3pq3Zh0VT/UAcrNvOJcqGmVr34KRebJ9DD46jLfQIsjbjAMoTwziuVIq
onIvkUsir2u9hUqifTDh6CyNqPxoEQ11IXtcRWtij7LuZEhcfU90QwgXqaapF4SJTaOT7KgTFxUh
0TDMrbM4iT4GRoVRkS77R3ytFXBO9tjwOMBKnK+jJDWntckt0+18VcJbGjzEJBMT79byjo5PBu+1
pbtpvjQMI35qp9ZNyLlhsrLrRntCQ6RC2RG10k4s8xiPQs9YcgWAodLceCnG8pw3HsZVorzHibhw
wZ20LlUH1VApXu3qv6vSn0RXdiC9s7G8aWTf7s2SVLH/s/v2d7v7/0OkNEsw0/7V5n4fwVX/jpL2
+6983dw97zdfEl1pq69ttWUL/7q58x1EGI4UfzGUeL+ZqP9BqtFWU4ru07+3drIuGfZI7CmuzUfN
ifKf9NuWwuKbnZ2iwSZtU9GPgk5JJax+8JMEhBOyYUl5sHsSGed6SNa6iC5tWkYnd0TTzmi+3NgL
whZ47vgYDQkKSDP3VxU2wY25wL4yiWs1xoKwCdrSvctZuFH6l6ReoDxcffPO/mTYtYyy/qxE/vp8
eWO+7SHTU0AE503mgc0T36uNLqiUAmB2HmxECdCadUdcIroM9r9+YDqkf/PQPxRBpWNnZV1a0yHS
6KnnsY0Bn1bebq7GYht3RrGZfQTnzIsgZEh1PbK1rZzKzzZwW/U6LlV9mOacgYGBvKbwK7Kf6/Ca
lBsybkvePccar1Mr0JdBS15B5BaIHetcHBr6LyU9ujqNHhN2cdoalYE9rmQG+g4i+QSNtBqqmyLM
gMgTUXbfW0JfJI3r4cRH0pmW4FAyXxSXCvXxZU3L8n3YDe3GNMoCmkUqtxPG511dtluRv059KMgH
03ujjUEt+mG/0YMpHu2hGI8u0Kh9aqUsVaOOmF91r3HtNwRUF8QXsz2JfZhDg5oLgg1iNlak3arY
FzJ+VE5w3U3DbRWX9bEZNkNqvLOb3D+3aZyRKOc/N7M09orto54IAp9CR17Es76EjQXIW7sUcVNc
r1QX7a2BPJTec19a2DebHsX7SvqMFXuOfLKfrkcRql1TkVfO/IwUZijsp5KqD89JIDcBR/cimK3d
yFik1sUDcuMTqOFgA99u05di8Ulira9OjhkQ88JgfBcjddmUzH12EUpIQqY8eysHvBn5OCWEIIpi
ywtD2RmV7ZEpnvgw6Brat2Z0thxlpwN9+9sBkNGJu4b41u4cTLitYGn2uzIcH8be6G+ZlLebMbOX
RPSOCncoDyI0Hsx8HLYkayDWQkoOl6EIr/1OW9vestILP7S3KonNLdbQ4Ojljti3URgcEd5QH0k6
gagOSugKpPzRXoo2PUSKB2OsOO7qrVH0/boPsyOycPpuYZSCUOJqHhmS75iJFgiufBpqSTedmdqJ
JXs82lNBfbTd/KFNWpSRUu3xy9Cs9R4AoWwap6PowOfKUNWGz5PAPrRwCCUVLKLcpf2VSgg1aQcb
Fk4Mw0d1oPJ3lySkvaOe8rzBgmJN8J8UjSNcMjGyAMMjEiHeoDagOHO9eF+lwx0yVHHG1LowXMdh
A1OetnTZuuepKJP72DKNDQCs/TjY93QH4Mp4o7HOJsTLSRdfOR4MIcYGSHAKWtBtLEbQRHJvDHR5
mO5tmeXfwdqibZr5Z0Kmj1gB7iKPUraaxod2jM7EVq8JILjqKxNwjpo3g9tvRwbDaXWNsrxZu6K7
g3DqPUqS3MCawGsRHSFoSFgphMGx4KbN8gf6R1s5+rsqzF45iW/bGZsEQYP9upINznPLvkI/jUWG
RnsUV7fRgAWqNq9HV5/iIJeXmYMwGw715O504OQ4ma2i+UhksuJ9z8U9YLBdQ0zIHUxEvQsirHm5
34+vPXmqK5HXBNHJ0fJfwjTia17WkT4ArQlSG0lPoVrGklymO7jOTKVDuBpjZeWHuozyo8R2jBio
WUa9ibr1Aly5aU9rLMaSdkgNHS49/XqT2OIxI+Ryzeo3nCcxdA+1T6U602VbWdoQ+yFEjpumLiQR
4pIFRKxRQELq6rsqyLqbAcHRISqILYJgyw/GRQjZxwoxKdTigkYoFI3pVEtr2ioneZjyuD0lCNe4
BO0nirCQeF0XW/qkMRdJyMiGLOsrSXIUnZ0g3LQ23m5ZU5XFCY0ev2mio3ZHkOgG2TyGjqKtK/Af
+kWj3mW5AYlnZr1DDJHNXnzIB3j/jMvmA5UwFGqz+Ozq/CDgj+/hZsg1atzkgOH6vUXi+taOglsi
BHKgtgGyomYc0JWGPd702DxmZZxfzSh4fr2PfT9f+7KBAsSRymT+B5rV/UFSZRp2aBpJYx4Kv7gt
oswhP4BpGuCV868f6AcZ2V8f6YfSImnHPBQSbW+vO3qYgf/JnBs0rgKyNFjNj47M0Sco2oS4XYAk
kB+0+fVTsJhl/lgteDROcCSZuKt89wdhDMwGgMTNbB5YrbANCVsaawsRB+d14j7IpzE2BDYn9+1c
tocEqfdVsKwkYe+Ls4iD6uwPLWadpnjn0Om8TTg7IZKuWeVJU8qvkAHRXTMxZMR9qg9R0OYHOY7N
toZav2lycaorDFhuqT/TDzVWRtsUa0TDtzwPY4v6j47RvwPzflIc/eyz/fblLhXMNwP22E4ZlzD6
Pxig5+6YbllwHxlc0Zac179+qO9D7r5+uI4rcDnyD0ERy/e/eShzQKXVcqBEGOZ+bl2YOJOyP+Dc
Rxyuyne/frDFc/3Xz/GbR6Mc//bRwF9yjCU+7UDUyc3cKevZIibqGA/6zYxquthO0t50YRrSypbz
oTVGayMT/E0eGstLP2YkxSe5abgNU6cad3HTtacuWPquY5cRDclHmKhBQImL1QYRdX4j0IStUBCP
9N1N/hqyfyRNxsW4FCXVUp5gwP2bW2Z5GT8Ut1T8pkMKoccU/keBRJKRRIMq3Dw4lSL+Ge/bOoPi
QunmGDcR/I501VVp8jcf5c9u1O8e9oeaGhwui1tBP9iwFbdGrd7chAAYOlbJCt2Iccqn8Sqg9X+T
LlWOO7TJ39yoP30KLEq+w3TbR/v4w42aCnNsyiwiWCmil9iwJWIHuASwFBAejuwrLZ1r5QnqTRAj
rPrV17Ptf9S8/uRyxrz/5+P/cOd0QIuZZWr70KbdB7Q541WbB9YpqxwubENf/Pp6Xk4KP37OELAV
nzGiPf7//eWMItGoW8gzB2VBZjYHxpVRQ2f114/yk9WA9/PPR/nhNTWWsPpUFfYha0cTVBZW5Sa3
ty1Str/5+H72SMtLESAJOK3+ZTEo/S4HUysOczAMq8EzEUX6R/aZv3lFP71Mvn2gH9YBzh9dG6S1
zW5Sup+igUhh6WK96zxSGabOuk90i01SL+UxVlKOAmVbXv76bf3JkdkWwgW/4Ak04pzdv//00JsO
0EkD60DIQnmYh7p/KKWNBygarUNpjY9F6Scb3WuX+ddE+aaJWHKrVBALZ7xgOMFiQhRPtVQX+Rlm
wjO4u/TGjORTXNMO//XT/eK5/f5iwyznLwAKZguCa/z7p2uYfRJkc81T0905nwDm49wDCjmnAmXl
fDn6zrgtO3HomhBm1RCRkcnEfgcUiPJd5UgKmOBtcOoeKVODLcD0DVniHHTw4qw4RHwuy0Ef8chS
wln22XT7CjAmWQb95BGyYZC9Us4FtVUZVDQOP8lI0H8cqmwtnN6+aJrma4nz/1kof6cT43bnjvh3
xfAXndjly1s4vfzrZwG7X3/194aV/M1TkNxwFkkc3SiO/mhYuTYNK6wBwvZQGbN2/VshBufky9zK
81H3kd3i80R+H0ZJk46Vw60Cb9pSnsXi/odW7veahiHef1ypTbn8qW+WT3eJWHQcFEC4iuiBWeqH
2iMySWeZk7nZjUR62hvIxJyKoHlf02AVT2Rmm88etA8ce4hlLiJrGswTEZTt0Rsico5sGV3XFXlE
5NVN9puKEv9hzlufLJNCS+eCKMoufNK6CLi8jcJ76oNYspJIuRkNC9OrSO8qm/vchT27bsOuvy5z
8TQz6uAQlA8PkSqzBz3n+VunXOu6Fll8kBzFTw7gv2OtOcdkGAqbFdM+shqbtM3KdRVSo7Vyavch
BDm68G2OmVGYg1jXnTfd+l3QTyuO8GnBRKm6y0dYA3f4JYklc8I5uy8ZTfebOKr7+8wsMv8EeJ4b
FGDBwiKxF2aM1Cn3Jj2S8s0wPCxJU5UHuGEzOtoXGOR8/9QH0nW302DL+naakvINixj2Ke1DUXoy
TO2/FfM8fpxNgvUOEoU4MZwukw0dDwQJRIDc0o3hEMvCdu3mw2k2VA+O2G2Lq5HBzAc8CuZD4WDh
tZAh30p7Igoyjo8hY0fUDkZYin2Res5H1DB2f7QchJurKqgrgKuhI9AOjSWhr31d7MxYw0Jg1EHU
AA3wBxuwwPsutfUbfLX6dRSNe5VxkHRpi1Qtkb+YntYqK4czZvp2n+tgoD+m6mzPu2Kb61al5Ak2
VU9vMypnGhJI57TZ6gs4ElnyYebiuIvjzGC+IKjtjZrJCAs5aK9Z4+IsA4yUJpCcaF12ix8VIt6m
sxiiKDuRch/ng3syylhf2HnyCozdwLZLA2YTweRcz+B87j3U0iuSiWFWp7xutjVnHRuzGaJmGYsX
UQCkbqLO+qzTzHu264yL3EQ+bX0IS9dB2pZC/ujGj5ZZoJzTvXHAdqrxYhE+JHDKsghnfnR22uxu
URSMABjCCyQh6talGf2+psN4yQ7QONuUs/K+al3vtQZrA1VFGOk7Gpp4hg2pCKZwIizha9eWtOY6
kYccqgl/9tYiTOPyBB7f2LserdHVhHDmYgh6Dkl5fkeEmdhGGOCqvR1j7GZwRfPN7t/XNJPWouy5
3tGIKY71fQPIF2GjZx0EO9iLouQPnztBsgOGtZANJg9R++PRNQawr4g2CQztZmKoi0zQlKDDTqQe
wsvwXTNEIyZVU7fFrrDcfqSCRzizCZMlmUh40gp3KExltWbQa143iKpdGnC1896aXQIImUJi4gLU
2NnPRHxUxpWym7DeRSoKux2COlOhRmvkRNE+EM4wYEUVm3jkgwYKQ3oA97rU+XiF60Z3l0HvEcRo
VrHI7iOfn7oLvQGb7uRCzHhuubo8uCppQrdSG2QtRwOx3escuztXGVox8hCi9gGqmjpCntLVfdIU
k7eNDOThn4Z+Ki96Qvi4sRlIwRqYTQgJPFFwqEWcfIL4imvNCoIaz2RSoQLTygX0Ygpsx8BlDYbK
eWeiZMrm9DP9xgr3gzXoLSrWpDlyZaIuLdG1rky/tm/rPsqv8lypN8fAhn5AeexHp85W9UfLT2tj
lYVJtQlCxXw64lssEqN8zBESP1aEOAhUOyaxB4mtD0qU2MJDwDjMtqIqWs8LcmsTKOwQGARmaFYs
kC4EwririjUvkcwEKJgG30Tmi2kpgUUV5zVke0SEl32i8ufCjXG6DmqYrrqBw1ReW/64qkuQi6xD
2lhsFdBKzXa47P0KPLXhIWzw4hBKEtTYWzXSjLfDXN4hTAyRx7UKbVGSa5DLlaSTi9jMxJg9RecW
DBVS3bqiXyutZxwMw86kjYkx33eOpLug48/YIrPtaAjiHzWgecuQY7zVkaHnLaPubk/6gH9R4rhc
k3WGtZ9YQtS2dl5eG/QoXwTypg/RYNpPTWgmR4ccq53A/3rHbhl5+8p0mwdYQOPHqo3sN+mbw8OA
92fXq/zeZ1nC+lu5frMN++IeoDzcwWYOy1NFwLjYozbRB6JEsZc2PRIpErCitbJbAOKKcWi489J+
rsE+OO81mWrVpmvy5pw4k/fZx6EFhBhMgwigEsZtm33AwoajqEBXMhwEWsgtPEJvkxKpdciyHvpt
HQ9XijDvYpFhm/FuMnnBgGvMT2URGRcdHIJwLXNtlhdTZjGIauq5eKTtSwYMpjL2rrwv7WNpd/05
SULdYtVnyIXoq40+KOIIbjHeWpdxlfjXOY1WQEiO98rWXF8A6m9g2CsEmgNCwhNCN30mVQIxWoW8
8E5ZY32XRaTSr1pkxNc8l/YD0ZLiKTEbGIQdwd530mUQHCFuhnXj4It140+OJ9NHYqywcBDp017x
6eXvMcWQAqBaQnFrGB6FtMkOLMq3HsnkTYht9IrKhS6jn2fvJpMTcIV5JzzmhY1mxuxq2K9Fz/0G
7WlDu8m5FeUyys86f7o1O2Mu70nLNU7SLuoP0gQtsdV2R8oEMQAZAUE1RhNaIdgnnaq3PzT4eG5J
PkBxhgQ7eVcMWuvryW45oojYzj8WxCG8Qk/qUdQAYzMAywQTyUQCD86u1717T0u4gXOmUvdUeq0B
1UIV/DuFSDHX/DUWM4Ddbr+pi4icFFnxTfqw6taO6f6poWFl5sM1kc02YEvb1puLNb+dETyoMSGW
akTvNg/tZ0WfsqItytfCCrvPamj7I8Gx5cXg1O5JMdy/TYqin/EDw0EDHNnHjym5lvuwypozYxCx
Fw6odaLH+EMIC9Ln2CR5b+07DZvNxJtDjx5IE9oeZh/POGpb/1CTkwRoFvLwCxkaMWEcozW9RJMR
vLbN6NqIWnqyXLVnA/OQ4xQmNybZ7JiVY3Qnkl8nfCIjbn2FXgeufeLNdxSm4QZqA20c4D263BRd
Oi/49EDvGV4VH/yky7jfoBjvkIXAvwqSHtMwsuv3edE6eo2QJ39JJqXOdhAELxaGiW0f1F1NgWcE
Z8g/plqVJmMKl6e0RWQIZDsmzvq59XT1iuy3mlZWgUuCfm8PHAcV111YTONF3ZT5Q+F3S+pMXair
wov6iGCaqDnmAOytrbR1ccOqP23q2vXnA8VOAblWBPoxMEmmMd2BZbLBE4e+xWcsWwcUTVD7YzIC
rHGqPnhRzFbjGf58XWeVsjclyY0vbVsQHgDlhc5olSTXViRrm+yODAhZSJuNrLsUwX9bmygeGmi9
j3pu/QfE8omHYc2fryKGOYe8GPN+M7qj/U748NTvIRv6N5UdWilODst7a6ktW/CIeNp2DTvzTa7J
sggxQoolxoEAqQKUDqEiIeINzXt2EJHf7xW+9YbxXe3eIrgGIOblg7x32HU2paO7J4gZ0b01Se9m
mDR1W6iq5jaVLfY44c+KfvdgiInKvncmNCXaue8dn/yDfnYo8rxkulbgcV/RJll3VclCzaCsgHOM
KBlOea+MN1Y8AFFp48CT8eJP7oQxl1JIPaI7KqAWC8O5E93gEM0Zu9Eajy6AsArKCRkzrQ/Dt3Df
JyhlbzJRGx8LEpzvxRTW0Vk2bXbO+8n93+ydyXLcSJqtX+Xa3SMN87C4m0CMjOBMiiI3MFKUADgc
o8MxPX1/UGZWZWbdzrLal/WuOiUqGID7P5zznR8Rk7XmQtY6ECVWPuUnOumeyJxpPspFDueg8Qrk
9tjwRGwGg6j2ftbNM7lInELHlhCD49wK49lPZzkQttCog9l7/bkkqzEO5tzEW+o1zs6adadB50t5
ZTLszGJXDvPLEjL6qjPRYCqfgzZAupcTJ2bVzaWvAaJtWbt0u7FK8/OUKvNklfrrZPYk66JU2C7M
ffiH2O1bUptrM+WTVJ4hvYHpzcnjpi6bMkyH3mwjKc7nsd6YHF4bx8i+2IUVbtwOVDdPIdIpFf2o
A/cIO6w7TRhSwVn3cu8a2XQICUQ/JPmcfE+MRt0Sf8T5NxMIvOkmukOjx2BTEsg+UiIgy5oIZYL3
V99NlZedWtEoMPoGwClFnGqbsjQf4frdB8ZMlEYyUBpJ8kWfXO6+PQgidRxllL5RzihWZdlDXnE0
qzXzZ16IIxmROm2CoU7OjTfkhybqls2UanXRrFtWrxBLyHyEw+33J6sm/RKOWVns2Nz3n+sqcCSc
SoYnKbLwTbQ2wVdV6/dXIw8IGT5zd+5asjTduhBXkSqG9yVsPxd4JvQ0brJep3RjTVYlJ3/uuiv2
pQsK5DTdDxnAQH7HDgoMMjF22LGcuK2gfZABae/zZPLv+9Kcw7idJpw6rOcvJnac02yAdtqGXmfe
egujb2kI/+LUyROP/b3vpudh0l8Qj7t3boCPJfTkgsegIOsRJh7sTDXEUZEKGjeQ7NeZ0VdQHGct
v9TOlL2YqR+Rk1yi1ozWDAazn97zppju/MXGc2r6vSBVzA+Ovj26pzpBlnMwJ+VyvIlpeUW/c1s0
qrst0O0dEpKCtOV0VIAa8wuUEo1boktYaXneVzTiA4hTdV1msj0rdA3b1jLlwhHjpB92lJjo6KcJ
Q8VU72c9r3x1g3y2OlKryFA/lhk/G+qat01plfetTNe4gY7IznIp7ZvaD8anPqA2R4nJWhOAcf9K
hJR31Vv2sEN6k22waKiPsMrTvYyC6exFyfiYpJ6kz+nNPanf3G74+PaOYfkvYQXWe0P+fDpsh25Y
zB3VyJ3kaQQjNLTkZ5MtVu5aY/VaQ5OqSIOzA2LqR6vNYp+ujW7YcJq3vqR42maGHn4EMumDJ5Bh
+B4su6roTHqbFS23yWdnG6OzAsKmo1jy6m1KO8YT2rFlskHq36R3pWjML0k+1JTfRXlXg1h/szPD
v7XByXwq8TPszpWwKBu+h5Omu9n7pIgwXl2m/EvRTiPkgLCx88emUVV1nNI2hAXn980uhEf+dcga
7xQwATpNWtn0C5NT3VmFtP3jOiB5Tz3D2rG8RqfnDpM/xI5L9AMk1N54tNSMcWgcIJVPunnMZNC/
2zLnAFBWeQQj8taxkj47SvXVTq4+IXbcM6QlS6LvSWrvqQ3mHsUsprPrFF6Rip2qE2z+lb0Ehx7t
tLF38BL1m3Asq/CLaKFqHRpuTQdCiVxLxvQyYoDOx06Q+tdHcAZxMy5qI9ha/mjMSd+EBB+/ACwK
kG8Bl9T8Z4H4mld5d8UEp0JaKFpnTc6b5JURCKd8GpN+eUR4OfiXciK+jSS1qZi2SzbjuxiNMZ6Z
Shx6J3jF0VbC+ad9w01jOrDLl9wcY8fylmuazg47OTfWfhwRqhYpYc20ZsYT9p7wYvgL8UzYuPF0
1sMbrxzUJo583z23uhS3wDLdb1Lo8IXJDB5Q7iMq6cY7VIVsbpAFtd/cLk15mZDiXqZWW3sryuQn
bEUjObYhKQWMH7qCJOHFQbJRRGUH4rBjYIAdzO762G+wVWOZbsZrUSAJpS3UKfMI2UJPC6emdwky
rPS4aXBTebGjyNciv3pVI+fA1iiHYYSTumkCoTkqOjGxL4M5lIeBnJhtV3iwkNyu0V+dhPXDflB1
x52jpHwqGAd6ccLE8raifeF/hUuo4qzkwYTuGhX+VeuV7jvAL1KkSeSa4mKcMaXAT2Qu4BnEsmTl
dEUqzCpDtZoXv7TCr4tfoTZPu8y4q0PpzLFiWUvKlIPWI5x7SthcYimnEpf7YWmQ5CezVrR3VWu2
cSP6BmVLFqZvbjs3h8rX/o1MKkKX7Yql8b4PdLD18tD7xvo6MbbCxvXqo5GoOOXt8KtQbAUPlq/R
XkNmuis90zmCBwErIXpHPlSsOY7YbAHGZh29Bzwbtt58JTB6LYGPCFU7hKVt6eD2Y88AP/SQ2CXu
n80ILrE5iahL9E4DEjtA3GI1n8hkesUagGc/YbWNpiPAD+BrkpsgupIOEtvkYeG8iWYGaKw+knct
M+spBNI17Nw+9KkTitQ5+2rQ5Cl4g3i3kdozt8gnw9ojDDHRBw0ErpO5pJcXUWmaLh5PP9wW6RR4
cBHNKf2aY5g8lBCerxiIBPkez2J1YForP6u2tK8rrJUCJN1P7bcKOv8212n/pY088dKO5lBs9JwA
7xxxEflxYQQY+nMXiGE88qjg4UuWCjJzCGtDw5t8wvJNNz/ZHD+zbwlA9CMOAG3brX3hnICkkkK9
4wEtvNI6hVPbgb0Io8E5k7dA/FkupuBbh7D7Wfo26TMIWnmoC3vVKOY9OKQ0AwKCsIzUhl2huxrv
MOno6Tu4gOA8IYlZY2NEeAN2DfNYwPnJgY2+T66RF86yLbCrmVuvwgFGWoPFwMbPwI1th3xobkRJ
2hlD2mJ69RORbJeg1a+8SZ196UzsTWmTKn1pTHuAj2QETrSFDJd+JlYusv1kw9XarFyLNuZa4lyZ
CJIqn4UzuFdLVIOOMuEakszGNUlCnh+NBxcOA9oexbZraMz5Mlekk69dJLK+pptaErlkLcXOxkl6
b7dJ0RxCKqOOlilS29bknSfc3U3gcONEj7tewMQ2BZaIEY01B6oZ9RBbOTuHTVhOe2yWpr7MyBDb
2Gi5ZZAYNczRWJ8zTFKBzzmwZFF4o5ae6h5sZkkL5s8V1nCBmyZ0JISjOkzZ/5ljyrCIuDMWmcak
oGhhB0z2srR+QE4LH7qQBGHsu9ACXaPuJwJBRV/wGkskkQa5CdVOcWymJDa0xn1KqxF+sXMskKk/
kAABHYklP5wWY09b7+Y/YBLPbxhesXiK3M4fmOK6uCkrryU+L8gfChnOxyBkgbDP8G1/aXJN9M08
pF9EmVFJV2Ej7mQrvzaGk+zqPAiKk+AS2SXaxoLa9pggNdHD7yx0jM86b+YngeHb2OJvh8UZcOzO
Z8lV2G2mUBJKa0dTeMTtwiy7GKJvFHPdhwl97nkxJ+A9WOaJjqB+v8JRHIVxX6+fCAuqs3F83+ZQ
le53y2jHPVMLJJ4MFMi9qVycgZ6+U1Dl9dYoa0BQSzAuR4cH96Fvx+YhWbBKZALvKpCV1H7sWsWZ
3S9h/1QQeE5MX6ub/cJ8Jd0vYzBkcWkoJlFWo/xln7jaycna4ULlNRoc5pZ5Noobhg0FKRSLNSyX
xkHScFQoK1nPZH3oYh+yrVM/Z4/wJP1VajK/mwlscsOtt40pqk3YLnL8xkKmXUVz9ldqsgmsRyEy
/7GgNdkMNSRxdBp++tSBaXiiFk2JW40ywnaI7GkMyra2fUHMU/9Ap0kt6qD2aKFvmuV3G3Z6EWON
AsPvTwz7sde0MXxQIpxLDnoqSnSBh59Lx//uZ//dfhaJBFJ+1pX/+4r25j3FKFh9/skq+I8/9+t+
NvJ+4VWJ1uUnMgTf85G9/WooiEB4OJi/olXt5sEcY3P7e0aFjwvBQ1kT+fZP4wCilN8XtNA9Ilw5
oW87q/aI+Iq/LGT/bkFrr87HP+5nV8mJ44AOAxSymhntvwgkllBhnQefdprZve6q4D0N8miT5115
k7lzcqEk8baVUSKUKAgWL7RxaJl+vk+uF1yLUFmktYQH4bG7yJrxDjQOZrUqfE7dMtrKjqYGvSKj
jrnIuC3d4X7ouMtG2yGDodHyUeE4pM7sumOYucx4ccop/3rm6KVzBMQVIOXiULrXLHZ8uOQ7s0g6
qKPJ85Ql4b4bcNsFpXcBTeG/B8jjCXAjR6kmzaEII8pcWjG6GSYQUjIWHRCiaiMc96NiWmcLHAEk
o7Gv1KWzZQYIy98KthovPsA+1O+Ze+Qb/BxZoIxNeSHXYTcr+4ELGY82aAqw5hgc7R+elU9XRpYg
z+wYHx7srHvM+d3eotqsqeaM5sDl/IzSfeMb40V7/DKjvnEuYuYj505x41b9oTVAG5Nbec3hR1at
WZeHfOq/Nfa83CRfVEQfoFoZ7Tnbrlwrk8DPekDK8xZ09E7CsW9Ljh4rrH4wBl+2kS/2FrnoU+hj
kBdPLZGUWVPa2y4AID009MzEYG2NRRyNWd+zKxwIMVXTs84X7+QEJVITe9rmRQ2CE/Q4F3p6BEKQ
PXLSPGTO8JF4M6lLypX7aWJSIHA/MiMjooIUWMDeSdPE7O7EIezdJJaEcpxs9KNPTlk/OAUDvw3k
Ib1dr6ZHUyYLOhXVN4cePMPt5OMM8Z4dU/SHRfjVHRWDwWhuuE5N9zbDOgox/SWVM3QsplE9Bq2D
GLtL2qmTsUBaX9KXMR27M56K2Ztzvip1A/3iR1E9Ai3AOQAT/+gFjYzncsaiZu3caYhNzuxNGzkG
9T9tamO3N/jNLggO15UfR3wY7hnMroHvBBh/sYEnM14p2Uz5688WpxZCRicb89nOuf/CmSoJY42t
9lVGDwGb3jq0jDErz3p3cbudWZv9gO917RQLxWqJSLm9c/oQpr3YQoR56JbMeh2A+DL6rPOdq6Pw
MfKrfQVfh7+XdiN2ys64BUHs3YH/JZAjIpyhcmgEGrfV574r8j5Ws+dz8TvNlZOo+SzcLnz3SADA
Y1ClZwPP0YnUPM2cKWHm7qQrwE+r/JLZ+EsykXbHmXTOJ0UFsOVRVSenNudX0GysAtqxvkMTMNC6
VPKtmJMA+m5OWWUWBW1c5Z8ZbEbnBmjy3vLHcd9b1pr4uUzwQ9zyibHs9BQ2GP2E2ZTPZQdGuR1g
QLL5i7r3PhlgO1jZcOOOkXeNTaq5FGxl2aZUzo1nLfqqNzvr1RJS74IUVv1UR8TnYZU8dVnk3S50
ld8Zk2oX7srcfTYQfQimwjR4DaAuvxZNNF68le4hk9AiK3MYzLswnMyH0RnaG4v8zEtZ1Nkz29mI
hHjQojwqwcUxRvOCJ7Vnr8gWOtZlExww6MibiA+IPrWf74XEtHX8wy3zm8zm/1SaeUnOb/L//V/H
XE/lf+rEQsY+WNQcklvBA3lRYP1FBVowI6gdtaSnME0lwCX2IiehBnWDyp/MzQRnRGMh75ttqPZo
FpkxgiffeZTU9FX62R+UsacFBewSiDVwQllATQBPMiymOcvcPAWBr8Hd5HXq3WGhFmfmHTdB4lMG
tdFy1/hWtXGTUF7PKR0yT9KzBwp4A67fo2gayniwlMdIw3vqOnoYrcfyFqcJmvtx1slTM47YhyJC
LhZK7qWttlnFX7yxkW0TqgA//FAtWaJjlTNyPZjlaiMd4Pe+ArNv8y2aoHrnUd89O6TjvCoYm2hz
oCbY4YMOjAPO6CqeHULEkdHFiCOqLVwhH6ZfdTEcxKNzSf4JRomHZuovWdM9Jl0QYtA2sYJPHoE1
+UQ+D+UdJWbBBBoSHeZY7KNZeSbqbjgnXX0Jcl7/PJ+B1hI/MFa4JYTu5h39GqvJ0U+/ZYM3gs0f
3b0BX3pDJh/7Gph1nDHMwoAriYdm8VP2K2l5o6lU16gjHqUl4KlagH9dxsYjE1YLdck9I7rWnpk9
Z2ZqX9Lcb28KLzIfass377LCsa04yof+zHc9XQDC5NejCeEWaizPO1Nx9YnDAeSVEzjZ91LWVTx1
ybTv1jcFYIZ/Dte3h9kdbfz6RkkVQmFPJuemAEV+37R5e3HNivs5U3C+Rq7Kyu/UO1BrPNY6csGf
r29wtL7LrHWnpyQoqqdhfdPJ70pPzeCM+3Y9B/L1RGBp6J8bZtfx0Fbrc9CGjyiR5Fu+nibLeq4s
6wnjrmcN7ao69ev5g8wjfQIa0h0jozFPRWjll4q58RBPfVe+dGzmT1BWolPTj+lZ9hqBCpSCdyHt
+YwCobkyyUm4y5DX9FBRF32mAPEZm4TZYRJ+vx+a3L/jvzZudZv6sUXcM0QTqvKYMTAmfzPpQtgf
S0SFUkQWHzuMmPNsbC8QI/DLhBTwlhj4MrZSp5uPJeOg4aYKBJIbr/UkzUykli29kxcdmYoTWFMt
Km1e0NdhSLS9ouljUTlFf6xTFlEXW5r4fmqVgyTRfThowoiqeeS1yyPm2lC83E2YZTPyoXltmMvF
W7ivPSgJMTNbdntsN+sD0irn1jEG+xrfs3c/GTSnMnLwQAjXelAYWAo4O0lpHlo/k3KHZQkYZSLq
iL6kST6cwYe6E0bo8jddsGQG0x5JBTQABJdxwLH5dZEyd8A8VhZnC7gGhvmd1VqXzunthwJCIjnk
7T1AMFLEhCDQXsGm6u3qqJCM41Dsn/vh4i9Ou0sT8zoIYVK4OQYwuzcSSNQO05AuT9hsMRCy8OSh
GQIVUNJnbhw3GDfmIN6aIhr3sxi/WZVD79Q5xEvN9l1ituNN3fOOQsj/yIMPon2iq9lO2MEFs70d
eq4Bp27djQjMQ5DVhK9aD6IOIpxq4Z2VjMkxKwM/Tku4ubp1g3PvT7jm66SM89y5SkLjgbE7d15u
OReD+39nLs03qWpj/Y5A6s+Ns+my8Y7r/HmxmvyHR0TCiZEWq0dZL2dozuNmInrnixWa81agVPnB
4pBnUKd148Sq61nrySgP0l+lx//t8/5Nn4fT++95jbefucre/9ji/fZHftPfEkHoo7HFVmOuclmX
Bus3w7j1i2vyf55l0snBYkHM/Xt/Z//iYfhHZfvTJ2Otqtjf+jsr+AWtLuc1z1bkOg4S8P+gvwv8
P1cK6G9DD5sGvnEnZMRPXuCfFeU5byzBZ1yMjayhJ9SlJyvWoIZ5nQUA8SF3RXvdWMmOYjsrd7Ys
k4tFmvw+kVN7LgRG1WQyy4R4oTxqNgnC9I0NYZVYjQT61sEmcPB6svIMlhTzLYxSfUjiOhuPK8aq
7VdC7eVW27U85Y7MjmUhuqMuh343KL2uo9PqNncDl1wQIPLR1qMfAIfErBP+3gyFFS5g12FaDKV7
zicIwxvduIpxlWNcE6cLWt7kQCDLN5qM74nSHJ+U2NFHHnUctubI0s4jzhgi9arBKZb6EnqO/6LQ
EU47NuJshouGccumyzuCim0y0LcszcUX0cvXcTHza17jp6QDl+al5XBilNe9+/6SnV0b0kTS9f6j
v7jy2syFfcAWDMIF4hsj9yo7DbNB4Ntgwsjq5D6tq2UX8avbWanIGD12CVbObHzoKja4sLWvw3qS
Z9JZ4Mur4tNOMUVpv84f2BkKyvNG7rxgmN8I1/YvGWc7JEPTqJhcYtrF9kinf1XUueAmNR0URUpj
Vd4Auw7PRp/iFeCXRqSJlJaFagfiL9yWLAifrXQx7/xZTQ/RIGWEKTm317ittL0tUIMgWClt9U4q
5dieRqRjZz+FKrbBhpTcolHAq1K24TBsyg665HlsLMnWkNAG5ruBq7ntmjS6UwOhMbHfB264r2bo
XWqCUZY0wEnAfpDqA64Fu+ned1l52GMh2Mkr+wYnlXgzBk3cghqrQ8VKcf1IA7LuNAqfm155O68P
Jxz05XDbk+zGVwmIZN64UwhVj/i34TG0kCxsytyxX7Q3+l/qxgIv3oyddY8Zw79lCjOUW69L6iMq
cJLbI3dssNEieOhxRX6AiRH3Ks8cZn1ZShBfPs9s9vhIw15Li0J0lutW2ffzhwzoyhFuCCnhrCD2
VIKE2KENqo9tE9TXdAf9Ph0e7S7XLGZBZaNtqMd2iutiHm50z+/YQpv2SrOt7zzSNdFFQEEKu+oW
a9CNM8/WttDTAoNHrut9g18ZiMq4Qwp4HUk0cgcJTpC3ep6QOHRdThsA2psVbGd3y06D+Vlio5lQ
wRrm+D0QySvrn+7CmrG6HltyG9MGlfdGMPjHZ1K64Igmcp8XFSqi0qzkVij8z6j5kuqscUcBehyJ
K447Mw/uq1yqL1ZBmClbfBlcq8jqvk42EYtbq2sYfQfsUM5ek8CdGEme00iWUp+LcnDC+Y0GOHce
kYCPW+VV9Sd56TVSKpJ0/OYS8uxH7AsZe1ov2JSnicZ03fGIdCBhrnbcwiQYNEmiS0XMg9h6M0Ne
OiWI1aMOwvIqN/jrY9Ma5mfgQtbW0335YtmTW15l5PQc4LYUIl7gvbCL0xzTG45os9gFnpYvWIbG
g47YW+BN9b/olmrBcnp1QxdYPcvO81DT2T6b6FBO5mcQiOCgYEZeA4OEVJMZyX7oRbKOYhbntram
+aNSCUV2R15R0PXeceIt4oRtUna+ffM05jYrZ0nm+Yyx0W3rz5Q8l/vF9ZPvgqyhY8HO67MbJ7QE
tslfbCWg5naA+whfmVLHU085hWEYu4EKU8wPsA0fZtVieQ+Y8vj7oOU/PaWCEVHPJBpogaikf0zs
qUi2JQ2bvK6w4tqnks0Y3aOdj6RQFenyhBjVxhWQucgaiE91s60KXZYitrfmWYYqKq4nRIZcL6kD
tjpDnLiQx8YWO6kPM2sgZt41X6VMbyUhj5cuhM5kuNM0bQyXpbHDxQOfXq1hnoJ1uY78ERr2VF6n
RTc+ozdO0RtFEPYW127edMfHiTsIH6C3xqnxtoFunXOKcWLZt0G5ApdkE4hjkVZjSbBaOX8z3VaQ
81LM0UfWGiuaROQjLtIgWxy8FmYVHVhcgps1yb5BLZd77ox0uZYPKgjUmnonguyc+KQsbH2tU/Qs
HPD5bVCbHXu8bKyJyUHvOja2O15Ltx6PuGN4C5RRnmt4lOxaGQCzfEViIlAXskvKSJLANbdXGOTf
2355cAds4SgLE/1oTgWbHlbOaMB70ZGWUJJ0rjb2UvjvXTqbclvQcrx02tNR7Pp4F45sV4eMStVf
/I0ClrtwZos+JuB3/g7FzHz2rH587NnzFtt6mPtHn1H1ueUd3kyG7T5YqnVfDBWVZw5s90p58CU8
QezDOM7XAFTcKdZ+RmvpFWh0lyu754VF5yOXT7pLV3DhuPPMP1HR9eZZSTgfMlg2qcjQOgAH3WhU
B1e6zg8Kp1nvG4PE2nsnpcP1GC+uf7sZngur9NNDjubvWUyC8y5ABYQKuo76boc6sb81CAdPyBy2
o5dGRuXRQgQKj8U1WyZ8mOowphpJMm39jHptA4+38LaqUHzRORE+5S3zClZg4aAk+pzCvO1I5pxR
f2sEJR1hTNQQEX0nMn/92pZVeavthQFxCpUEAa2nHhkIGO+wAT3C9rRaY6pSxF2mWWYuGy67bWNb
uuUtn7q9SjLSPY9+Y6I/LzKtvitGRGz50zGF04JnKzjWc4+roNOMNmLIUjkTGTPjwPYXy0CV0Zcj
OYFms8TIX5E3p57VfBI1QfcWVEN9pTLmfLE7tt9CQLjHpl2Cb5qBMOPIiR6FdgvPeczNtOyauhVU
DsJMX70k7S6eKYYXI5cstM1ZievBqp/DsSUOTSIDtnYB3pNz2SmxE+UgyIkluB5vdMJVlnRfl6qu
T11b8J0PcOFucCXC5QKe2aNuRqJSasGuWvpIKfdVods7kWNQ2hhJb1gYGQUYNfRq+jXXRadZkjNG
gzJoj1/nrETsCtVQgECBaEvUXZg+a2DC36G9EymbDPRPu1rXC6liS8WjN6Vlu136rmk5ldEObVrF
0o5Rmh9tE1swnyIb4cvA7n3TOhm51f7qcGEwDIQa6tkyZwcK0iOJNTC/O4GO0p3hsiBqJd22mPr6
CgN9vUH449LEBhyBeVmolzGPih0ZAFPMvc95QraMfZWGTnLsU9lc6iEdn9CAjbFEM7EF+z69Rq0v
Ja2d2X6kuIRwUmSZ820q6xgnzi4p6uU1S/zvQ87iw4CYDcDOHqxNOKOgQE8Xej+lwSgeE8A2iAWy
5TDP8PAgqXfmV8vlNnrJ2tooN8vEjJgmPjwtAAHxlXQSzUfaN8wuRvTELQdtVXw0qTexWOSA2I5u
TaPth5mBVLiOGgA8wiFoJSWSIJfNQx3l45ekx7DjjdIeD0pQZRpZdR5sxLmbtkeDczRUybikqyr0
+5UdjU+oHNEneq1fA1wtyo/Aokiw88L1tmvg2PfONfBkhbbP3z2F3T0nkGnH2nQg+BRFre7MZoyY
RFk4QljiRXeFqLpHE7N+cUh8BEjIaav2zWfxBGobNodFjm83vzLTbb7pNODtCHrEdGdePArDvMrq
98jX6gncvHPRrmPflZOlnkMnRJrgNBq/ipP67MdshMjxkBvRAVUp8ShdNWZwvU396fZzlB/rJY/O
PqsTFhB1gMYDjmWI0ml2UDwL1eNyNu0MaErppujQgvSrHdg+bFmCOTdS49nfEMJDHjMlm/Uekbp4
xcSctAy7JCJ8DtcSbOgRHLHXsjuKA4fQYmpCZoXRrC7IVJCXtriKjM1iJ2YE78Qtv3NIiHdBEu61
DEnR3TIjqnb8ztDgDiFzzgGxO8S6nJ0CmeD1F+WL4czL6jLWGI14aBzrynKwoIVof5BN63HHqcrI
NiAjYItRKCHJ3V/9H+kyp88ildFnGjW82h28z49Je+LSNV5EqCL5n8Tkqs76ADEJ1N7MUMobhY18
n75xxDqzq+3p3CUw3dulEDu4gPLWEUt1VwfkMseEufkxNEIOlqaGodwpAq85JN8jaQabOtTeG5jP
5WOSLcmOTTinK6ZQfDQ2+ThkjqSPKJSKr6RQmo+YfOj/GLm1N2zDkvGAH0OhPAvsvoh5sUx735se
yOy86842r8VuKscev5dxHEOKgqp6xHQA4z3jc98zp8fO5jYOXEg8t+c5rUg40VMvsf842XFaKC62
BNQsWYyeLPv0nYZiEdPcrvWC8oDZaUn3HskE5xSp4B04q+wk+QKeEMnLR86L9pI6fAwqI6ugdMlm
5I1cuDMCjyd7hFjKF5rQfr0GgtN2ityUlPHl+e+3D//i6I38iHwJILamGQX+Otb4I98D9UtL/Hq/
HIrOEveg5PsbN1uJ/JUVXOWLZAWypjr8/Q9dKQv/XHgwxohYkDsO876fS2rnLwsPm+CUhVnyBHMo
lReqjP4OS2i9ZT2YPTVLR3LqPPuAysb2+9//5D/TJn79yYxN8IIGLmhd9y8MnsbzxkCWZF3A83Qo
dQJ32Ey1b4A9W1d2kiSyz58/8b+juH83iiNohvHV/663uNOf+lv2vevmP43jfv1j/7DDo3Hw1sHb
SmJciYu/jeMC7xfYQiZjt9/ozPx/fhvHWcSsuLbDTs3yUFbYLkOy38dx5i+reZ4ZoYPUAqnPf5SY
sr4af3qKOfnx6ptcSavcNvzLU/xP9icZC69kC+ORoURIU40MDwbvpmj1tE+j4NJUzrc//Kb+PzvD
f3mM//KjVx3IHxhAtrCCojDXSCy3oLTK0NBmYjk2RfIxtshW//6n2esn+eMnDWwChEBhEy/vuy78
jT//OJEM7FHQqu0HUHwA1RMWLQyHkCLYxX5WzVczFeLAN93upNSEowdDAOzV9LaDr7/CcUdIv6yi
teIOE+m1JyZYUNLb9Gby0raJza+qz1lOirPlQAb7+389vKl/+eeD4wa9FUD0tHmg/nLGkdqFDBCj
OaS+vj4GBDqrDeJ/3O2Du9ZVi4fdag63C/OxO4jb+SMZ57f2tGoobe5oU7dfC9Z6q5/r1XCrS+a4
B8YAH2mAHgDPzKmnNGLSz39rlxDMqhVVn47hwa8zZInh3J7S1jafjMpk5QNG5Yh5fYuOD+H8/Vyb
scjy3eBlD64njuk8fqAl3YC82iGU3U7J0MdpXtyzXnxo5Pzotp/zmgODhuZtyqflEBDEu6VuDq7r
LqIkt5riFIUatmVGBJtSvtx6IR9mqpwvbmc5B1B06ZNfmPeohJkgRvxkpx3kBRzd/C7KPjjUkWDq
QEDimf3htHGxrgQbH9fx1rV0fjujOdm4IHmPZlBwywW0Yx5A6iuXWJoLKa6oHyKh7kZ2vLDuFbJa
VYdvjmkHgPFJfg9JB6E8XefPzNmw2yTRzhsz+6PxluF7o3vzarDOo52NBGMv6DbNUCkQREW9R5S1
XFWaH2H6CxTrytobVdB85rn4zNPaP4004lglUCHCs7g3FLzOes6ukkK+Ejlw1ZJpkQ4+1Qtfjafm
DmsQf6AR5HiNZSK23A/tNQ3YbtL1UyD5vv/+gbTXKf0fXydKDcYovuPySDJCWlkef3x7o7S2WpSX
1k5LWJ/b3IPYGTdtj5MfgWPDpMJznmD1TZcl08ZblnjrhHcVJCd5y8g7cJ4nm/TjdWQ3ah1+n6pw
fnQKUx6Ul6jYj5SJoKcuXlSrNc1lYv74+RH+e6n920stMjld/u5Sq8T7x58vtJ9/5NcLLUAKyG3B
c+7A2/JZ4fzjQnNIG+BGQrbHgsQ3V2nfbxeaw34JTDFFZuhxpa2Py+/ywYhbkGKGP0gF5/um/Z+s
l1hj/eXB5D71PduBe+uSFQeB+88P5uoe9jH0VQetB3XsrEK/V/n/UHcmvZEr6RX9K4b3fOA8ALYX
OWdKSk2llFQbQiqpOA9BMoIM/nof5mvD3Y2GYS9swL17aA2lzGTEN9x7rt+ulo73ARRHfzMKFpkl
ElnsiyFw1apOjt0U5jdkAKBzYGp6CZFofEWdiQvXDYxdwEKNDUA+3RhFnW4Zrfgrpqvxya1Y9CTT
/EEsC16jbONIQqz9qboxDNRvPMVQehssNF2UMSinMWDmcbEb9wu979pRXnUq+lbs7aq0mDGaMBtE
y92LOyJj9hlYL6WXkbokirQ8MRqt7wjWm++pa6tfsuDQRY3jf+qMBo7fN96D8jZ2tmtApwE4nFxQ
UnrrzlDMXoDEb7ooLn56lQREP/NbY1xlqPjpmr8UtK8jA93k1SVW6WjUjUOuH1Fnoq4eScNq8A2n
wym3dEWDE073SBZDQsG8CWMRbLAJ0MAkH1KE4Aej8OubJhnlEyIMD2B9bacr0Hj2i2aomXTT9Jyh
5zr3qcsyLVbN3qiCBwby6mWIzORblFn3lvmj+1ixLls1Zhg9ZKFw2NuTHVX5cfas8som8EVfcnBR
D6mXWRwdwjuSUIq8jDz3W5WG9WVkUcgIHcDz1CescxKwsID9P0bRZuc0DRkUisyy0BKMgXrmtEdP
1KbfMSoiiCoF1ZD0BfBGHTMK1u0vfyYtK9fhvAmi6TW120OReidJwNs2ay3rURE5ts3CvHjIgzF6
c/2pvbV0696gh8NrJufyi42AwmbR0b/jBvLOGtTJuZ7b5YpGqPSr9aTAsJVUx36imwIXOZ4q043P
I670Ayc52lErhBhBXPqd0MF33N1Y9huh9+YWkFf0zDC3OZVe32/muA5IMctlu50TnSTozdt6XvEm
VA84BYpzlM49OZ+zfrHn0sJZxKIzcRvxChQfEaOOABqbSA21LWA4MypcAz8ZN9LiDaK7tqO7asTr
gV697Q9mGmN0qdWAPcH/LTEKngeJc1bYItrhJZgIpLOn48Atc6a3Qo5LxGyE52mXZUG44w4LfkTM
plgLV+WHnxpi5fcZbmTPN2IGzoz64JuRuDdr9PA1ystJy2ZtaFMw7W7MrTtnlJGZFqBsG32whQz2
JYwUrI/BfT11+8ohmhaqTHsXh7G78dC+eIO/WizR+zkhlbZCQ5Kj6WC+uh7t5tNL9Z5hVQa5Fz8Y
kLPikXl2xlAY21LBAM+1Cnfn40faI9mob0LbDN+LbNJk3Zq1erQyMT75dfuO3uWznhPUYf0tcRe/
clX7D3NchIcWkOuORVnM4bP8RLLinfVojQRzzE9j7z6hJGLuW3bDhiJTPycIhEiRx0HFygBDS4bb
2mvOXTZPW8aFsGClj+TDb+VrumTFmYSK7LvCN9kCMGdvdG2BJk2GU9M77lYOcPCGsIh3fuM7d4x3
eZgoo7cxE5Rnh5IaBaoL+EVH07pXChOB18zkupX1NiTelGHS3E6vSRWHiHNzEtQKKhwK8eY0BUa2
GDD6vWpyfVzgycnKoo47IhIkdlnG80OYzN6O2Ve/ih1wd8TFThC0ebd1AcHHA3tCWmM67ItIoPyJ
g2bVaknVKhHmkHfrfLY5yju+utG3DBatdYU3F294E78yrJrXeBswgUejOpliqk8450LkMlH9idFm
uKFSM5HhFOYTDzlMVgQDYIdH4WfryR6dFz9rAuBMmnjbop4khQthFucepA6xY1no7HLFoHrChvU1
RdWLMwqxbXW2N4h0wLoFXthtoMQWtfemauNR9uNZZ/zlMdGMQG+WMb6HrSf08zegXjPrmzDHdkxo
VQMdfBN3ZQSxy/Y8hqJpv+ojyfM/MOzrM3hMQ+0RuBaU28JkUZMmJBXWsSLmNriVuSdJKGSMVQDU
y+emp5ANn+tZYedtuLtXXu0Oz5his2Wn9lUwQzuMTQKAP1Z3iB4fc8d3N0VuTLs5VN066013NzTj
vCdesd07Hie4R+wc+XOoomRFtcvC5jFVwUvut0OEpt1Bo1a0+q3NOTZWSVzl3kH5MQwGzKVrk2jC
vow7HKv9ohiI9c+MCv7J9MEF8NPXoOkPsULxWXDql9kP5jBnu0q2jYEllGieasvg0lx5ZWys06lP
b4l9y08TWTZHcqcE223HfYW57bz3Tj5C6Q2LI7fEoR7i9jkh53GvBQDXtaXUiFIjrdu3aQ6SG+Hr
4T6odHvTGMHwzdYd/wvoIa5BTZNRVPWup2HfBDNRcj2iqhV2rq1vyjdpqzNBeDdyzOezVSW0MSnh
5zwp65idCPY1kTWESOYcqgSpnEjnwL7n9LfIGdYVpfDKTgfMgbkDwIw+1FoiBkXutCvMXsXGmocj
eAcIFGF7a7NqQHGQf+MnjrydX7M4Yhtid89OMorbNvwOJmf8nQU6PosJx/sYe/aNhx+w3pPxO/gb
IpiGj5lr6DufzXDT4qTCw5y2S4LgJLjesH39wBiIdclEeY6GryCEciwz8aiVOWx0i8bG0D3AlGFx
yWY4Cy8cPYvIMJ72vahJJbX1uDdtJt1zCLdH4jheayv1nw0iigj203O1B/kANttJ+x8ts/mpF+F9
aBDEt8I+etEZNs22oURJzPYbWfv0owUMSYpc4O+kW3J7O04VPaImukyBemhqYnnqOj0zHCVnGlvT
4Mg3a+heOtq3lVMXziNzlWZXR4wBuPaiuzqu6FrZVAZvuQfyqqGsANP+K0/dPSCNw9yDZcqCwziM
khWjS6czuxVhsIVDLiz5fLzs+bbJPXhypoDfLh+0YT4VZvqLC+2C0uOr99z9Yio/Y5IXu8RySSTP
iQjwkG5z71KFxenWA/C8yf1Z37W9a65jNA4bR7sApb10V7IHSzfjFPQbUP3ynCy5tkEriLg12G5s
cs90fnD8hrd67rH9DUsIGyU8DDOLqtNNz2ZTZDeYAeFVK0C9Yu7NR6o4/dzk5bxz1YhOP6yohPMv
N6GArSZX3kje6LUo5Z0PXQUnCZLB3kMp6vU2WZ+Q106xnREC4VjTAQWnuQb185GzkYLmUZa3jKOX
gErhQ/hjsS56f9o0c+rd9mNsPVB+ixPyCfvQwg8iUTq/qYCBvkuMpheIieHGVqhbVoUmVD1AwfXU
Me28j2LL2o958xGWNf/eqGtJAq9ifCD+Ed0JBmYxvAn0UEI13iazcVnqSuz9ARZFbFrGq5dV4Vtd
jcY2A5n4UrvdBqAtHTx+DMkGTBnfWDZRFmSW/ziiqVlPLCXYZ7FhPEGcKA+DQIMilX9wxsHnRa2S
WzBr7UMQckklDXEDQy1f23QQt1ifu/cmg3haeGJZn4LY5+BZoFQjkdlWLMiKzNGO4pOP12MSGTvE
GtF69lxv3yoZv9Q6FY8oq8ONSEX85BAgcgad1x6pwcanxi7r1w57CX6LEWmT5+kn26jMlcqG8qup
rGAvMr/+HbFJIMKgddehoIJGduDekqSMH2Y26uoD1yYYPzXnuN0RwNwgbc6ek4Qqj+WeyC4QK7ky
SB/d2DJOzlZpmvvEqcyzhXmdwKkEPn7a98d4rkClB3Xys3Zn6EPskTaY/6svV8joDFPBu2jLIuJk
GP2VD0j9PepF8lSw731uxsk+jWEIYCi3MsVLzw6K3We25YnJ132/XK51+tjn7g5RcErB1vcXmTKa
MQDfnwOwlGt/FPXZ7eEPVKYXbOc4/h5rJFVL6qO/q0tN6TY58Y45WPhuTR16DPxbT+Ps99tpsMRN
0uc+9adPsNbgeT9pWcV2rpLoux2I/YhoAI+pDpt7H5L/WVlpdvDcgYLcrcWpIR2bW8ONdmAZWRzZ
2UNhjDV7dyrzEAcMWh+LzQ2oprM9d/eVmdqrYfKI0gwGQjTngvFha0cIypHqemNX/OYPFds4aoMb
uEIM3coBws5Y6t9ePP8aqkKvQuilqMbCBCkTlGZ+S4a6j+jIqqzjmzhNziQGUDliErEJ8dqgzVTw
sb3sNVvCxsa5fG9CRe5qkgd3i6GqQqW9qxGYrBu7H2+WJh8kSP2NwXUPeY4c0CHS2xgTy6YF2nNJ
U9twMOEu5hKeuU2p2EX7IsXyITvr1qUEWwvbrl8SCviYXk5dEtPzV4Ywn3OdxDs33oVjvLcKUZzA
tD/mo78JEsIpYk1JbpqYFCx9xs8udkMCwYaUrfvc7T/5eE6wN6r8DAxiRljVYbwewP+Mke/uu5kh
LDbrmpRhhw9qGZN60+X+PW7+9zk1zwnn55YsAXOpDTL8UxD1VWvYW/q8+BDiOCdtIuseVVtmOKR7
cVB9NG8Nb8m69fr8ZClWqUJV4b2ctbvvkaatay+5UwHhOfwuEv6ySVrjCjAITKIih/9qNXEPIimy
XwlFXk+LDkqUSxpaUxIX0xps+ArvkDa3RRiCiEvUeMssD0xoaEzquffy+r2KbR4eh9jmX11cz8Yq
Tpd8CTMVk4lTLH+sOst4wgpZDdWxcxW0G9LIB8pMTwGTK+pzPuTWT27A7twaJW1uCgC/zkkiWoEM
g8kJFOtNIrm/YNSBW6boW1ZDBixhVRFVc4SDZ+1BdA17POI+QtGpOOnBl0dPN96TM7nuXmKU+uV3
Oct6TPzZe4MsBvFABWOtbXkYFYcnL010EwurOeILDA+RPSLQ8N1inTX9wMS6c9/opceLkln1PIjR
PReBTTyRVTfzyje7e4f39NGubP4xOKwviT1+t2Vub+mEslNqKuueZG9AklOM9MhxFHMDb9FiscS+
57a1tpULRYHqo1ppbdwC0IOVCP11F1BYrCJLQI0vl1hFG0onZTrgkbPZRsFzUE4G0mR7pOBuqjvi
A7eIGFH2Jh4nlkqyg69VcYo6ID/R0PwgFO6ja8e7WWfGKh+zr6Jw82MgOpxm+ACImhftyplee5qf
kGeY4A19B5nvJ4HuxgmCQfr4vzL3/H8UscZF4v6XE82nj/yjH9KP+m+Gmn9+11+GmmSeBj5hqFeB
uxMwn/xTM+9Hf7jknOCTNi1kg1c1/X/MNM0/LPjS/9AT7fzBeBw5vec4ZmiZnvc/GWripP67oaZl
k8NqwueOosAJEPb/7VCzMdvJQDHb78zKr8q9ES9gB7v0qPb6iHUBI3fQD4jGen8fXZEQgg1DvakW
UkTfRTg9KjsJb2xVOLvRmRzCbqIiW9PpgJkIxg7l1nzFT+SysuVtBJRCBjl4ikIQ2LDXncMkTqkW
yiiAo3FN4GN8R2Bj1yEyqv0jHr2220pZVYz+MZO9z9lEnpIF5CbZgqulAoREirHYrOPkdgqV/+mg
q9omQTSiUY9CbFXWfCeM0NhW7VxgAsXj2wpZPCkbco+yTeNDX8Ed2HL9z6oY6jcbTVvHrHQBfFRe
nKYkXsH9UGaQv5ZhBdZBXJkg7Qj2ax8Aon/uF14I7jjQIeZCEdG6JTtm1tO7E7oTfI7abEECIn0C
cnPFkFyRJACYU3NTXlEl/hVboqoMsbzqoDesktpp7zl4BQeKJaP39oo+AcPLHiu7IlFG9qhoDDEO
nEEfee8huFIALcQVoZeKeM773imx+V1hK0awgFdCBSNz36Nfs46ES3Rrd6krpRwYOtjD0PMHcF5h
mJ66aifwB3w6g0T0mLvtA/M59yu1rOklwpyH/unKgxnR2JzaYoZJ6rTjRDz62F7Ya2FQv2JkKk9i
4qmJuOdCISblkl6ZM6IFMi3mCBO+mN3myfKTXMDc7KeLGofyAXd4+gjVNO92MSiiA3Dhfu8skJv8
T+ANXKsgBLInIeGECIRfGTupjmy00SJP58rNQaClbQJEwOl4V7JOdKXsWOiVUGUxh+c9AzmyYiBs
/uiFQikWh75uVxSHcIFaLo0YclnAADPiqrpIf0H8yHKc3tn6hrewneCU4cAAB6SuaKAU/1VMKeRD
gIPqWTt7wuwXftBIz70drlwhszEUnOlI3tKP2csEJyRBDw9pVFDscP73VbWOVDU/xFdeEagw0s4i
Ikcz4TsPFnTHm0nBlNqXoEBwh+GDf69tWdwEVx6S1eDxawcz2FhXXhLzt+GUxdqHgjvhrO+8etwC
3PLfoyRnI15ZmcUIThrAP2kPIrhZrQ2+TNjdMXSmId8xdJA7swFoQ1isAdCJPj95cmc7kiuR5tGb
OWbiNTfL8NNXoUtOuBrQVRr88HzhRblN+CpVBhe8cego9GC5H4GXMT5MAHj6zKgW+FS0cKiwR456
U0jpnjoFWGsF6jHOd7Qo8s1r0v4TizY9ZXkFXHVX2JVdzNI5FNoGgpX4Jr85RmQvVwjkEC6LKzQL
AAwWmxTZA95JP2rT9fQnZOsK3IKsPgLbm1xrY7cLkisKkSStECwtS2xzIPKNgQUILxSm0UfjGtlH
ccV72Qvpi5mPtcsX+lfNE04Pbfbpr873m3OwcMIm05wvaSSJALEXlli3UMXCK2BsusLGkoU7Zsy1
AyTaXYjXTXQbIgB94ROVL9xSPpVXfBmXiX4vpC7PBAmAN0NI6RJRXST2Hn1zzZo4UOQeIooPkl5A
roWTVl+RaTK3JO3LsKDUktKfnzlsvOoHVpz4I8yN8GxfCWw+9cMJe2bxBi6R9VI4hEGwMsvKeIWF
Ic+Ab0xm8Mz3Afa0MN4ojUHN8HzfmgRofQ0OQAHO9oUOF6LDCC/ulRonrwQ5Fmc62LtXshwBfGa/
Jk3Ase+6BT4XLBi68Eqks0bgdBUNzsaFkgA36Aqvg2KXDODsnAVsN9it/CgX2J0cwd7ZCwDPmzzj
2eU4q1DXCWTjuMHxKADBt7eErKkPpM2OfyAPpX5gI4CvRyEnY+MxAN5bEHwDecHt1mrGcGu1TlMf
unhws2fTrSaPr42zC9MGUAkyDcsddhrnWEw2xL/Cnak/7dG0vphjBvdI3J2fhqGqB1tbzc4Rk7yU
cAezhyplicQ/nppu5Xhj/TNfkINYEcjEkguIENRZuk6zrgm3xoxDBd58OQY/kgVgCFbDxrtTkVfg
/Uk47ImXwLSaEDTNdmaAPx977AgaeBaEByAO9ZTGL+LN8YO8UhQx7EJUDIeAU8tdQIv9glwcnSI+
AIM2d3YVlWt3QTMWC6SRMGX7kEiV/oAXna5aK1TbFosWeoFBvveakcsqqRbEsgszHdkyz6GBKSSo
6fs75x781ZOEk7txfPHaJOh+gKOSE5mjLGwyL77JnE4CderdrynNzWMCi2ptewiZB9XqjaszIJa0
r7EIvkEvfw6Ja+ytjMTvISavYg22wSKpOJnc16Gg4do2LScxss0eADrb0NE5uihlyRvDAtEeR5e0
hRXSfnDgjuF7LJ9KjW82Qe0+E7oZQh2b0vCraUQDcMIarAsBica8anF4e4cR5NR0Rllcf8X44hAt
K0odN4Ust7Ryza075KyQInNxX+TG1laCEIKU0TPKyHBDoAmTttLJ8mMD03qb5nnwVHh44z0VlxsS
uwHuhpn9OySx7b0MnX4zzbr/NACRrxktuNlmNLFPrFwv9s8BmxWCEsfaYotQYoE2O9LrbnXeGMaL
CzFakEWosmYdoj6vN7bI1HwWi99tW/GBSQjLQbCM9XhwrK3qkunYZoZzFvCgMoBPDsyBxpIOol16
zGM0O/13uKiRKr8c+eyEbXmsKjgta04EFQCHNMP7eQa0AFW+i+7GuY1uTYJD4JVYMv2s2t45eV1n
FKsYB8Jnaw9wdIao0T/RvQz5Bs433hW2v+BwJHaDAOyfRYjDYAKDPiZISfeVhrtA+wwX1eoIR1jJ
wgn8lT35p6LClIbulfa28e3+QhGFKxDDuv2rF7p7k82QnsrKC9NNbYfQVbmUpnOCIoibhH28gVze
g0jTO1Z+LwMLjANMogGYspHOG6sYOv+WFqw6evjEMXtw2O3GsVtuPxp0GKaTye/DUjrfAR/Hdz0h
ZthUXsmwL5qbi4NmLUC8mzXHEAD5Wz4KSS4jW6ZHlbdJswmxGeqtzPiRt+yHdHbfWUTuTnkPmtiB
h/XBekA82m3lP8V9F+BPtf2BDQgxk0xlpM3nRHkohQtSSU0YDfmmY/6B0zvFFWdQmD56iTfeyJiX
Zx2nFgQajnHvUoxUxRwZKaDFzASev4VOFFaviZc336jDIK8V6L35knGpjvK0naHNSkICKRTiJ60m
/IEhSFNz1YhBzzw2EWuUosoCSMQiZ7TCAa0h0efpcCli12LhxR19Lxsd39RSqS2PQPddSc96GguV
9hurjcrHdJ6MF1uY0cUGUrG3VRR9S0eZLxqm0U3oeca7JkOdlYzI58exyeU75y/lgisGm9zLsM/h
IC6enLEyw6MJV/u1yTTGIMkd84r8BDq+W0Bs5RAw82KPXZ49nRs5ZE4kDkYBKmWTvY/J3i0k3qSO
ATdR/Z/8QCE5alTqHLPe9sudMBl8MZLgdoOGmQq9J786yU7z4Bc3nnRRuEl34chlOT78jYzK6Ldi
p/Cr7xhMooeUtb3t6aUubq5T8LXpOHXW3sSot4TAd6l7wlGMPdIx8jbfefM4KmfFxCIyPpquDw4a
AGbYbMjhwDxL7OeMJ2NWtDsbRDZN+MaawAqfPKihrOX5pLUutg7LIwg5lh8epM5eJwCUxgGc5zCV
wTYB2W/sp9r1gd/4+CvkjF/pFhZji1PJcZVzxulKwQq0HY146P0wuW9mMk11/FhE1AQPpbTmOuFG
iOB3kPVDTknKVr/cVmEit7bpmL6zdiqlFiQVzmrWYHUqhLhL54byiKAFiTTGaiv3POROHZ88q1fp
fTgGEhdrFsfjAZwLocQkSDxiQhUGdmdqkh+a6du8j4T2nF0/zWl2ZKWYwZlN2q464HxlzQ+kXfc/
q1mbH1GWF/6y//Xin4Wf1OAjp8QKKJIGMq9530f8q8j4YZbaEBoz0ME6Y7eUaNv86UCXIWd46Ea5
FnG7sPU8Hd1yfYvxAKwDdhXwFTC6Xk+yqWkX+wG/DNqJ2J+e0xo4MTAywmJ2hHc64ap2ZZLfNcAd
gjUz74YEggKcEikFytgMyejviZuI4pPToYnZtbigxTqq4yA+1UJqYa8AGpvIhBowGFvD8Mv+fSoo
t1sx6equXHS/eLGxU+NzQdzfnmqT9JZDHEaLvt6rgvTCJeX3RzjrNWWOOY637HVw/EN+6VX1AhrS
zT8tnuHmMZGDhonS4gBnhYCPzux99ZCLKHrPKe7AxWpUAJuePwd8bZfp+WAlbGZuUoMNwTaMvcBl
TxAMu8DuhM8ksTNuMBa9RzmLkpWwgC6nRcudSKreT8OZGBjjEH3I++QpV8KUAHMLWCwo5LElzI6C
xTr5LeakGO6rjXMMgDRW1N8Ibgz7aOH+NdBhjtjthzLVv3TSOQ4yergl1PaqJ2tEyWeJAXct/QT6
hu2hSVKOMNzV6JZPMuk5m2rI4zekc9Y2VQuKw00cgptag7xQn30QwgZBkWb63EJdtSgP6GsOWd9h
5OiVTi59ApAHueKyEylxmd1r3yntOwRiKtnw3SZj9lqZxkZAIqlZG6YTCVCdubhc6+BLcPRn20nY
/UuPgITHi8zyj8rw6yPIR2Nd+kF8C+erl+uhmi2fsCeP5Ku58px7r0ycJ3bF7j5rgeDlbFZnEpl4
OfzR7/BhTMMPXvno4EaJyfc3AW7vce6PrVlPH0lvJhets+FVgy/I91Zu2SdFlu9RAj9A3RbixUgK
RZxtgbPLXAeNZVawmLzW3NRQ+CFFSYlYZ3aY9u8M/rCLSIroJmQ5Wa0msjJGpMHxKJj/D6TUdrEv
NgNBRh3z49xUm5HYKU5sEfl/aqD/z/Sayy/61RD4lSUgqP/tX/7yi5eYu7/5jy2VKhgs+d3pp+9e
lsN/0C6Wr/zv/p//9H39KT90+/2v//zxVWXAnPqhy34Nfz2CdJaJ4n8lxXwZho/un/5B4t5fvvMv
FgP3D7zhtmki9vMXzwDi8D+nl0HwB/t5TAQRboJr5t5/KjLNP5g0+XbIxPNPI8F/SjLRcbquyXfi
LrG4e/5Hksy/d+dYgCMtl+mlT4VoW84y2/wrnf9AHorfSU/t4UVHzwjG9H3doBNZO1HWfRLBUdyM
JoEc6796of6BvQAl6qJB/muNMrgS12eo4nEa2qy2/u43yx4IxeQptfddGe+yjkCrDwb3tKCZstwK
bgeaByC7o3wr25zZ5uTClFyHAVR+JCSj6e/NsrXsdU/C5nvM6Tkw4OMedi2dDAvGR6zNvo3TdVEB
+jiMmLUI35GWMbBJHZjgtE2oP1EGrZyB7JW9jY7lvaJN/dCNHV0qE87glhGlegSQjhehIH6UzJmy
yFZhG7c5xDJbvtUugGhUtTSEVXXjwtzbj8lOs7ZETVN/AlxYpwMWr7kBmdbHzS9VsnrDypwT+1cE
r9Hsiz2ZnDjeqhZEdOq5PsK5xI9fDFVmOepAozlq8CPrOtbfQYNnkTnADseEfRzIl0L5kD6EqQx2
amKLU8MvWBtWfcmyiua9nRADjvazomJmxGaj+hREZ+QoX0qi6aZV5Lj3dQulaaKfsx0z2aAN5Rs7
4e1AgiHoGMx65bfoQ7rJ/mAthQMlcm9Mr9/0QJ9WEKv2JA3uGFOrlYip4IWDFx7O17qH6sgXNePa
hsZxP3ZS3JqSsMY57haXQi8RLmFAaDAbAG1A0Mv9wFE9ZsEW3ZOzgYcw7AcvwWhg9tbOzRzv6Jq0
K4ayxRb+oEQ40Gd7B7kYfKiJqaJHTFkR53IHegZMQ1Uwc0eJtCG2O9sT6MomkbqMmsRKymNdG+5X
a6nkIF3ui8DwjfOM/o9kDZE96bnsi02N4XyTIN3IV9ihyZnB/ezktCFplWxc/F3EhofUrdvRcfsP
BlJFgzyQG2+NszZ4T6Qb3tGKWJ+1squvIdB5QDvZeg6aIlS4SVPcmpOBNGEEiHHO7UjADGbbbbrG
CeNceyIAsnmtUIbxWucdTk2TsL9523kjzMQ+QinGJrbxffbEfvNQwTpZCCneMrxuCprWyvbYuxeg
vSbLwQzXV9Z+Ag5T7QsjDZ8rz+gE0GRSr4Vfz/YWB/xgghzzwzuzc+j1af7Uo43FfecmqU5OSdIy
phCmCN77IcR4GTM7PIvAadK1YHb6pEH8HxeeW01aTVLdzjxQx8Ia45YxYJhwOZbuj6brGAtDLEQY
4oXLlgBNzUhJ7rcYOKtGXSKma+kqjAIGKf5kL4AGtxu3oTcm4qTHwfpuBEJpaHXWpXCAnO6HynKJ
Y4eUsMOUqwG/kg9kUthoz3gK/WHc0f/NN0WPCpjSxGbFByyfDBWHvJQf0mYMDq4Qr15rWruW/5G4
kmTBk5wZ9vLvq/pdORv3sau//KT47Kv01qJkak3D3UlNM10puzyoNHLufRfBuXBpRIeCHbH2i9to
yIoVlnx6XBO9RjUbwyFvxbkmO+GBwMCvtKDa6JoOf/pA5ryJA+quBrm9sxP+okBX7S4h9fIhjY1h
Pxl9eCPnyd6STNd8zn6ndpoq5mzqHDl1pePxNu6L6XdVEXy/ogTPbqIU1Dcf4JDp+lxrBftGe9Yn
FLrsRCRJeRMFwf0UVFONkMgaCCTD4Op/i0YvepMAwtI6BO7Lc2m8DSj+QOz1YGws7wVzKRlptZKP
kYPYapVmcbhUHuo0y/m7JSUAnUjjukuRHm8Qhwd3yiGy0y1mh5E1nMmxSjJmOmn1YJiIb5AGSBaw
MIOe0FUXzg9lzN0AZaAYjkUi1K/BqOS5H2VfbFNGTauJuuE+7CB366Gxobw4E+h7Lyal0FDJZ6jy
fmPUXnhwwiVpDcLyGrMsr8Zk2y9hSbIHVRZLjInsIj3xAU7G4oy7iOyBJD7I0q7W0LBOlL2IMWw/
BTXi/eZ2ys70kO2+7ESSr3w+Kf0RF9G0JhG5SLaAoGgmsj6x6o2hRfeVGUyXVmBJzNvAB+hCG5MP
RPZ1gD0AYyjGFal6ynRSvKKUK7Zl4ITfZmrJvc4cbPYRD8zeEwoNZtv6hJcppcKzGIrqEvA+rdVk
wV4l6OELGZT70E8i/tQsy91n4hg4Zoe5TonSG9gBLWDxLt+As2I9Sf4rUXRtN98lGZiKXJqfbYpy
zlu8rKVtkRSVAbbr6jeDgXG1CDth/Rbkk6LqUL5jgcqUPTa8NgwZ44ps+DEWNsje2Mrdc9AH7LS0
3wGGUKN40GH9GDtQI5AgdJu+rYyHEubveTKoXYs+XmehuzOp01m+LOsEkTBlS46IpsjeAx1DJAU3
k9cp0C8ZNMwgvYuU+SWC6ZfmfD+OfUCpYNr6mM0R7Cyq/YNhwLzJEhoY2y7RYZbTdpadtw9Vggw0
sYkuSBEPko6CLtdLLokTJVsxjHwA4pHjmXkGyRUueUSVMadP1dTqRSC2w5C2zSrf2g1a2rcptnj8
K6hFCcnLvqYEVlcs1XAHHBN+iGHZq2aaEJP0tJpJj8y2DXS74R0at9SCMPusGlfgNL/EJdQGfPyL
q4IXtiTP9w49EOCGvn0ZvRSfd1N3hyFCUEypwSDC74Z9gy1ozwkUootv2e4Wnb818UAQ3+D6Bz93
MOTn4LUMzeNb2e49KT1bcyxpwe1OAUXGIAKlcgqSPRm4JMo5ncMDn7kQrOXUY3Bb3lQwud6OwXH/
4GdttM2toWduXMfjO5vy8ikYZvPGjMriNzx8n7aK3ApLReNrjn7r36k7sx25kWzL/sr9AV6QxsHI
lwba6fQp5kGhkF6ICIWc82wcv74XPRuFVGRCwn1poF8KWVklOZ1Omh07Z++1wbtN1bAbbb1ibsop
cBtJPTzr8dIfHHvFQqtcIJxM9XCvDVC96XIb8X2k4Qj1s2jQTw6JuftJpOYbtKjmetDFdIfoJaNH
V5ceucG9cE6RV4D1GDCjnCKw24jzDftKdwfjmYZa+DPvQiiKNXmKe2BCScbCZITHVOn2iVimUveX
KfWCyNSSE68KzFs9wk65x++S7QtdGC+Y7zy6yBaeimKePD8WOenEWakPnCA9WfEjlMU9YiHtGXFD
ekjilaM8pcu+1Ofh1UKbe9WTXQB5gfIBq0mJOL8DqHFSug6THKLN8pyl8/yzT52C19TNsseW6fOj
h6Wj8bOECGJK294fKe13aZh1Ly5Wz9swLksorIa+n2meIyOcJTJqngOCTazG2haFnqPj1qbnYSys
w1Ci6COCSFFNOpiwsFHe0KwzrmDKyFeNRrXfMDp9Na3wiJfI3jgqum1dQryEG2lEZ5AC7fCcWUgb
IW92PiuesUHgkEDcMBfUn227r4CFmyidgUdIeK5QSbs1HyLn3ACh0w6L29CT8d7DRrMRZJn5opjV
o0N+1lHWXEHplsYXGkWogqpWmc90rhxyPjR8yvdsEexvYDqGmQXMcMg3BYqS55hsPFwKO8cslx26
s+a2R9zjy9x7SzEEESFCDGGCmWwvcB/vGmwGHxQtmBmQyYPUA9QApHaay32B4O9YN0P3jZd2edQA
zSEDnUqQBnyIq+kiSKWbBVB8IyaNZnRfTa24HTt9mN4qU0wIs6ekyZ802Bxyq+oFI0vTc8Aj4jpK
RzR87RT6lhhoXche4Slz3EHb2xArHgtrjJ6n2kjOC9yLvTc7TBWW0Yr2fat3D/UsjG995VnP/TQC
vZlbgUSM0OoF7FxSPkWFFn9Mo5OeNMcy3xpLEAVD0krCz1E706NOgfqzNavlFI0V7TPy+ZrHuTVY
K5ZGsEBTeLOq2aqJUEqTX7NpO7On9Vvob1korS+2ozvts1tYjroNK8LTgyUdRRmsntcgKmh3D+ac
Gr5rR6T5eUVEqljSG3NyrA0eQuD5GqaL3u7aQBWzA9gn4+215tQ1thX74RWJtx50frOpmTXIGLG1
xriz0WqJxLqWKKKroY6OTdWb3/JlhGVuePVL7Yn+ja53gUmwbh5bm6xAjVnVlHfbunPdKzVHJgzB
bqL55ehv0LnG71HppUcHTdlLugzaq1FXths43mx9w2Y2nQY14lD30JiKxXQeIstF6m9EU3iw0jwg
ZSk7UlHH15OwxkMDpvXQcwvfiPUawI9pzr0V1+2u0EBe0Bm6S0gvPikHJEo/9OljaWnWjYcqnrwX
T2GYwQc3byZ81Rijcvr8VUs+r4UV+iYi3K+P4g+mo9NDX+sh47+mLVityRrb0EL0zijspR+DSNxZ
Al70gNP5pXW9/uuY8ubkWqm+pnkUbcntM28wO1enBPsacavWObJi3RdYRR6hqtOELoaG6iqpfxKP
TUBXNIpDiTbjeRk8dVoiXQ8wQIxk55oEDuMfuO1CO72vltYM5paclaAwanU9hda4bVFHHJ2oiAnv
7ZytWZOUi61rrO9hvuTvzSysBxhRajcvjIU6t2rvAGJnx0o2X3t9SqqVCIDhj8i9PgDb7votYuRd
1qvlLXbyeWNMvU4EnUkNhKeRPLhK3AwDXQyY1d5rIpvwe5iw5jPH6Y5sq8PjHDE+S6jFbktFTvPS
heqmB37wpKjyCNrMsdeQx6CdTMvCnAa66cvQsd7Luuq/JwmJPCFA+reZcGAbhw9HaqMc5I0rOaxt
hpm3K2FX2eIqQsTpsae4IzJfrET6xgyzHern9KZEIP2SY1k/QTpMXzTCggCwOQUnQbA57ioOJjzQ
uJeeLk7havMDcZk/T3MtSEQsyrM1TnitGD0Jpv+puoV/Lno4jqH54UYZJyxAp+2VHnVoJhdm3QeN
B82ACj1A0lIqQ7tEYCN5zppVf1VT3XicuybjKSP/+Fm24DxTKE3TRl7moJPXlK8dHqG3UenMSD26
6ukVgWj45lj9XpbLFBU4IBNVJHFWu0szJBKRGjlfIYsz3wenBKspioVQVlm9MVqpt/CH5NfKoUmD
Pra6jqjUGDGydnBBZC1mJXqBZJDWIxRvIzCclmGyPXTM+LrhZskG9dYX/XBlrAPjTrghqR5Jfph7
k3HyOljuyFbaVFFSv7ZST3ZRVmiPdp7Zflro4caQvmKJr3w0XeUHQAlnumWaFNsHou2Yd9OgnQmG
jowXYJEMtsmYTM6DDp2UyeccYDydnE24jJAEqnKev2acIbcRo4wDfDdm+3z5iJrgMjwXcWcVO6qA
9nrWh/ib8BLjWaYlD1BiLFyD1lWPc+V2E42gqHyxiubcXUbzjZzLt4Xxy7miBsU1pbEMhdoCWK2B
yD9o2t5hxJ9FNLaMiiAyOSPwIPFDsTUTb67wL64aAYqxFxaZ6oQy+0kPR7GPQHNeRaumAHoANgDQ
oFvNQe3c1yFVuvuoks66C82wuNYjS2gb8yJWmMLsaKuyvMJ+4xxxV/I4IFiyT0vR9ijOY3Pdpopd
VsHy9mS+YavqeNMIxiR73b1Jojkmes4jaW4N0Ix5fN7rS6pmhoCXP0/UphPr9s3ACWrn5KZ6TGd5
P5NysWdvHh+zUCO7TxkIenvNHve55jGYoyl1Z5PtufaEvhERjRSvqEfD3AKmT++o7FbgFusVVGMX
aN/Y2THKqdiKiJ/n4Mn4arHovy1qa4IlfcGClDsbb2ydB0qDnITIOAsJrUywgY2yOyiIRn6KKmFr
omEEdTzzXubAh1WOe3SnFrWm6vVVe2W19BJ9qxdwSSJyU7u2Jqp8TVVFlJB1eDU0FnBrsB/MpG9u
oJag9sJceh9DHLrR6zWoNfQqedUjRiXXGOuMQBF5hVCtvkqInn50jLzelSPgt60gKvt17gZ1R3Ot
IyfXJPcAJBGDrWbQ5hEaZk0+vTX/8BZ8ZShqQLFHQv8gECU7DuESPgHWDzeO7JkGN/UiNui5s12U
9tGutfXlzuvovsVCrunbaeHeTGvy7aJN6LUJiON/0szy4GBOfJuGNU/crtMvSL1ZBacKbZUwHdRg
NK8gp2pE73ImEC8O0dDVVtcHai4Se02Se3tFhG+EF5jjHnPkVmhfXDUQi7lG/uJ6j/g1YRcH6ZRP
DzIUud/MrnZUOYHB2hodTD5v811f44S1NVi4K9KExbg7cFzfw4ts7ga9UjuieOgqLhMbKf/VRv3O
vJa41HFn5myn2/ISZDyvmcaWGfOOk/zBpNmdw32fNa3BxoPR0Mi97gVpi/ECrSfa5v2cxmBKW/IL
BydNApkjENhYY1I/AyEu9F1id9O8XS7hyxr+neqKsF1BS7auBM8tzQ/UOFmkfQVT2Z1cIuHoPVNE
E6Idp8Mj6EESnyvpJE+xXFAC555Gs3eBxDBu0ybpz6kslv3SkyOdicV5dC/h0uQmaKCJU4fhu33J
pU6b2MPHQoggoiDPNR+BtFIij16CAZJ0pPprb5np+3AJvfbcUbeO0zpiIqjPsp4TaylfGxMqmpaW
zd1EYhr0BbvpHpjZoY4QYBPuyejUHs1hZVtm6pttgHQLXdhC2Py971plxnDdJty+pjRPnSuKl7QD
bctMa2p2iLpEgEU6p5GijtyFJeiQXmO5Yma4WbPkn5QaiMwjLOCZ9qV9chsh7wl6osWQjlgzIybw
HcZNIsPpGjg2pBiBKENvGR1o06RZWw21NUxnYtH9Nqqm18R12CBooc43qrBk0McPSS37fhuVjvec
qbAkxAfBQ+a02VYg0rqBFTlPB4AGNbmi5MC9uzEOPUxkU98BAmNWv6HrbD9ABzOJAhrn3NviBUWD
AV9HwDOq3DLbmibB4Gwj4j63PPVACDnC3FqND5rTlzMOiHyfoHLcq642v5hZNt2BWCN0wgUuvKsw
fOLgtdM7Bmgz5/KRZExVZ/G3ZHLyK+CZw32riayhBWnE1lXjTkxdDGOlCcbArXBCU2X5SmrD64z+
gvY/xfUutqcUPUUy3U1ei+FJWplXEpXseA8VjGjNj2qx5jpCtPYTyzCeopBGL2GoevGUJhLajRZy
gPacxWY77Wzf8WIOUlNh2rdtZXSPAHH1RzGa5d2s2WXK4Ddpvi0o/m6dJW04yzeuc6MDtKWNU3Zp
eUhUY3whgUZcEQUDPaloEqjtXU//E2VlIU/prIU/kqxY3mqYflYwxhRsm0FvVlEPoRNbZzY5xi3t
kH/laRsGv8wTdgK6ntNdByzxx6ipdYHjJbIN/k9SmuJoGmq5wTsrT3Ec4rZriu6KtZ0NqPP0jw4i
fbz1Kna+sUZG5mhJ/UDakzxNSLOvrVERVWLG/bnrrWTv8Ng2G5iPDRJUNU0/nRTOZ5v3W84Qeeor
R5UHHHvyZLNubwdZ5U8Wco2TJlC6Ltncf5Tpim9dUBXs65zwoNSSU7md4Jm+GTUi2gBeWPXIEYnu
d112XzLQ2Q8u1dmPpZZEL4mW/2hZh7poaF5RhxJmT7oi445EdtpJ4fQJeu7hUzl2hIthSkSPDEHj
WcPHBcW8aEUSVF183xeye6yqzGZ6wNpC3k9vWaATlLovTJlf1USXPMOLJPuSRO57ZyrpJuhz0X9f
aKutG/KaNNIDKQglpxKU+2P+iJgbxnbspaJ+CsNqeWDKzS9CcYNYNnEeGG6Vx1w34scOzSMJsRPA
zQEgeGtV4H5bA+ZzDHi+GGbnxB+LMBg12vuEXMrnv77G4ZAFRlIxnScd+7aXy3I/T8VHYwAXzfrI
b+Bg+yL15htHzQUMSHPct5WsQGp5TzPipSBzcoC3Dq3Lo+p0OwUBQYhYKnTn2Rz5Xp4jeXnmVSqV
815vWnzyu4HjKxOang6HlhThUVG2fydExCF3RIfEYplT+0h4Dhs2r7JGFCl+is0wTfUpGaC2E1Af
dYgFpvaa6eqPqs1EtqlVZ9/FkZA3o1NZDxPtjO8liDlYXwjhFMddxjcxYUHkwUcHVtVwzZSCQ67T
U4ChK841nAKsxHpDbI1RdWAiaLu3q0d2nAuIHCK66jVZfjUBeVF0epQs8ZpGYIgR1QXTFjT2Rv3C
PFUdC+5vEDcQ0aa4dbc6yMbAnXW32uumbbGbRlC4E6WK7w4hYzfMDkmlc2b3PHQlICAty+kFG+43
XcZ6uyHyHRYxIhPvBByAQlamzK3MpecEI4x4vOrQL8PqafAxMM2h3Vvbb7UNiBqkstKOoQYQzKJH
kqBxzpYbJEQscp5siGRSXfxkl8x8ULaPz4mcrI9qnKd30DrqGeFx326cbFrX/7Dsrx2ycivEMtP0
vclW3i2rAqoU1jxOeAVnPBALLMZD70rmMJky2WgyFd+Mmq6/5yZOzWCsQwT27czGNZeecwyRlcEA
MOFisAdDY6kh/sy2iti5yghIcmfX1raOBJAUEtfmrzATBHOb2NsJUbPnl80ayuroVehXodDCrZLJ
ctMn4SoQHUV2kp7TnaKpK8yNnc3yBwJb0nYdnYkfOraK3UokZB1tDG/GDV+skhEabRm5QjG7GPZC
GK8bx+nN5tqbJj4Gp1x0CDv8gz5posaXfGiZo4gyw1UhSfZSoaYdabIXpEy33fovRl66Tdgn4gsz
WzNH0igKCZbctj8amBsERJnWA5sXtUvOdrkJbbb2IzliRraVYple6TfjIQR98Rytp6vCJacEkvqk
fIv5YDDC44dKm+s3rjeIj8yq1k2M/EMtJGDAt4x+CHc2KgLfozl8tRS6ccIOPN3OOhNv01ib5EVc
IbhsRQBGy+DNGjCdpuODpdEZjbuR03X32lOEn+awzJGhlhryMqPbjnMz/DRqO73pKSduMdWyfi04
sKXUSRAbagFzmn9Cs6SIMew7/VWH1A2xJM5usnYUQaX02PUbXGKJb9rqNe7r5aEdhvK6wv/JGN3Q
AsjZxTE3pP4jrwcUhrXbkjFZxXc4cNPWr5Mx2eKrWX4gkYoPINvlkcB2RH496vax6iN7d9Fx/D+T
/fxd9fO//j8yNUrPMIzf2xr/d/nxVryV//VWfvzXbfKjekcrdOzW/Nfu7yqj//xNf6mFPPO/PRtx
j2OYugm5bKW0/aUW8sR/s2OYDoICAZ8P1cx/1EKG+d/8G8yOjmWh5UFR9B+1EKhSG50NKDPIlDr/
j/8RkNT4JBfC28jDxZUBOPGIguVv+0Uu1HV4N6pkavfxyEKS2pCTmEsE6LLZB8K23lVLfkYnQz3i
Ze8UdRzsKo1W5kC2eVKhNnfLjp7jaPvhmLwM1Tz8SVn0CTG3XqKLm9+z4R5i8YTA+sslcl7FLJpF
7d4tQljxiyWCKG7IaIi966Fp3thYb52u33YRoTWZQ135B2nTv1+AZXqCWyUhH/96ASIzahetY7sP
Iy7AXEgJXSNuNmYSshuyEPRhGNJgUacezQJEBa7j95fwSVp1uQWOa+KJtUn8cz8jlzsrES2crmbf
9tF6WJDPPTCzpPkTZ/LCNf2bhuv/fhDaLt3C/CrMT18V4lqn5rlq9mVFYA2yXFQKqn6tGtSJHnxz
f3bCym+cztwM40jPNFwXw0k82KVRYp/HT2oSLP7WpfYYIC/SHznfEw3O04dqZ2rRRVbzvuUIHGi1
BcYuYw+2nZqeMSPVAJM72dy9uEfcC2Yp5EbOjfOtC7uj3nbu1kqa8BSVjFM0AAt75EjxzUyS2mjx
tBbLc0WjakdJMN1OXXY2zCULuiF/R+HgkkUc3i6u93OIi0dzkV9//wutnMNfbxyvBBpWnQEXXmR3
/QX/JruTS6nnUdKAbTDBedM2+5bCUmewzbBYiNUPQ0CIbAbvr/WaZTT6Wd3/9Ql/jwK95DP/+sGW
beKvBOEpLsvIrx9cYJKvO88lYhfxVuCqHLc7bpEDVQRAJJNxFlyfAVqMsK/IPqWTBMTGly5zNC9n
j83jaNcT2OLbknfqsmd6IVUMWu0ZoBvcXqKjLay2GnL839+zz1RTnjYEg7isoZs61Mz6J8quTmDk
MMs43+NIKbfMHe0rdk+kioP3iP6fClaqfK9CVdzWk4vq2DiOWXTq6cdswsJBJb4uQNa0q+xrRzrI
Lboe8YnGl5Yz34buInQxc/nx++v+529tEb6NRx2BJWGznvnrLVci0XRkKfl+1No1/oZFwcUG+deN
bp3aYxSoIIRZufgDB3aFNH/6sR1hCcZXjm3oBL/++sm9KMKRBKJ8Hw5dTYCFR3MX/+/299/v3z4F
FSteHBiIOA4+2d/LvC5MDajQHglQuZctrJA2jN9//yHuBZz++ctYHgnmQoJhcsWnX78qWilpd+V7
wDpn5PptvnE65N34uzt6EbzknjaytwxKBaWxZCeMQ2cjspYHxq0wnPqYfWf2fMMaqFiVrQUxs6tD
Tgd2lzGxxAfKaccs3WdUgPNOd4CaEWZ2TNBMb7MJ/MpAZ2+nQRYKqDGpECt7r0+sb7YxCZ8OhBbg
t2AEFtsG/nUuLUWLvvVC/rzVuFT6NEYJt+GfGppNhzSKYOaJxNuVVJRIKmqLYr57weaG766G8hyq
9L1Yknc7NR8wooQnVKdoDsz03Iq+OpCI5210rzxok6ejt9e9XV4l5zYKXdrsrLmNiX0ItykPnMHz
XUa0W2Cm4C7mGbSy6Euz1MtuyL3nmIcDpSdnamk+lIlHYEFM6WsK9UovxPPHdfWe56z7ShAYxDqN
89w0lcLPoHHScEytN0PH8d0KmW3zMXnvcGpugQgIH9dZ4yfC/l62IvUJbROPQ4XOjywXNuLF0WiI
pmcj5ksPEQ6/ouB6I6UeW5H95NRFdx7VYoRdh/AJFu6xr7sgYwPZ0ttXPlnWr3KV01lh6/lebLpb
G5is31tdvGMtY0hvJ+8mPv4NASIcZzt24HxWaPWs4hpw0lNqeM/NahZvekCOWUiqK8UPCtseT2xu
8tOUXfvoJHhWi7q/o8DYh7J8Z/jeEsWJDUiTeRd4E78mweA1ENPU8d18VRTk59JD8uQ0w1WjBk4c
2Rlbp7efcH1uI4sv2o2FzZDrJjR5Al2Qt1uhy9ss5OhikFjH2NuisUgvfRvWPOd4qbVgrqivyLYh
LH3Izlqk8cTyy84yoknF6SbTG/tlyACGl5FbkohYYIIMozOTFx4CJh4bPRndLdCwa7BlKb1ldup8
Kd7Nqsjves+AXDto7lOHfX1J43dSnqpDPOvtlRPKZ12RedNSnl47aU9ttf4wVAa3Heojwo/ZPC7P
7jzy2OhM4TcdSdlknifvLkhbfKbmg+nm3h5247sLFAd3U/JuKF6Ny4PbLlx3WE47DuGICArsOsJ9
JrV1xiGjgyFaX4GCJ8wwzAdE/R1TL4pPZrPLTQmHY9Mna7Wh8fdVRW0Sc8sTZBr8/J3O61IDI90I
4iKvRx2qEJrUxK9dHlqca++XC+dyqWJ6NCOpxp7meXxvYffdVyz9pOQpnfW6nnjVZFzfVJ7XBAnD
dV9i7wuWRh4NZ+KaCiZkifJgRk7DdQW/0U9RJe8mOsYbsonO5HKxYEmbP8P34NHN/vqBYWM9iLx5
rXAIgypOzyTrelh30/fLcsFg+qwmtjHkjN6mTCM+oIO7qnJ2kBq2x6ZFisWckpvIYYB6aKGeokqW
m8E2Dq4t0uu8crMtyAt3y0KVBc5Sv9qiur7sThB+K5RO3AFcA+FJOOkZg2B4L9JqV1AkER25WEHb
lfXOnsSW9fSjzFlMTMGTW1J0bRgIfcFvzpKn8fcOrLWZU3FDsB+2Mn9X1FfrcsZomiUvd24vi1Jv
s7zgC3lNJ64t6Z1bUTnLocntB8478CUMXhXHTd9nLUl912xJhRr4cS+nCYYehA0lJvFxbDtOJW8v
3xBz6nl9JZrEfli3AumIB1VzYZffAJbXbVKArwN5QgjSeO1GKcTJcn1s0IQhabYLvLvtq55axrXd
puesjnLknDwqLVKwv1Y612IxsWP3uZptVlRn0ZDCeeNd586Kdjfvb8qbGYzawp9yLe0AeTQ8qfXX
oRkOPXeprpcIvZ/NnGMzkYBzuqzEybQWYk6E6pAAHN5gWhPz4sKKB52w4U84XIk77bqJ/9Xt+AH6
pK93SYUDG6hMclsBrN26q23I69Z+h84du+wrZsZFdWvxnDn2g9GGwRxnMwYE+pLAqwd/fcKmhcU4
rinTWWl2ePbLzVjx0LUeC09e81gR5kW2FQ2NvelRUKy/LoiR1wRi20bGrPqcgsp9E/EXNuQk7y7r
b76ujiH4sX2JVmSjeRUhl4QcBeseh4uYjgnSRAQCvEByya7xEEB4woHvp3hBtpdyGBl+HvTw1260
MJ+/gNYibwFq7IZMLhPcSvZ+eVZwBb6nbnwuFzLF9RRhmN02iAG51etuQ5IeG6PiFSCQNbuZEO1v
HbKywLMhnrdUiwSHnj8elLLZyWHNzXLo6lwaTLax1uc2irumIZmprtjwZtXcsko2TGBjdbRGmj+d
XTibyYwROBmLh0IFHgK9spCJHNzDqhsZv4axrR+g+0TvcMLoMZqGlewGAx+FchNcppKeHiG2ZwQH
ryEd1d3EyeqH5mXLE4L1+gqnMUzeWj0xcIv2nHMSRBSG8apbkOaWYia0STKTjnsjZKK06AeUjThf
OSYNVbSWBvVAa9GO5b3RFyuUZIYmPNIEzMDMHN31AJfF1MnN0t6aTIrAb03GSfei917Lp20qcUEP
WWhCTFyIcidH4Qptgo6qksV+PeYRaZVtYyPhP1za+jYBDGSwF80tKb+06so0oSuVM5hGTeZ3K62a
wCWLGoUkAqwb7Lwr5noQKwmVgk1hhNsYTZkf9LBWgZDWUXnNKxF+cuPRLtsMpjOiK2dYjH2k29cG
qvMktUI+HqIPXqdwTZfg715Wob9h9Lu2t0854JAoj8afONSJHG7ccDvi9PA5QP2o5Rik0fyjx4uO
sCFm0SKOz0eHm4HJUzgVBROlNCsTwiuAh4c0HUGEigRLfWIetDROfbMb9WCIgIbqzr2GmlFrWQA6
vd9F+OECcOI/EJrcaGN7lVSsv9YwfjH08UT0k8sQpqhZyrWftcMrLWnlBmIyGDr02putWHXTxjCP
arEeIjB25Ifp4HZNbCv0Rcnk7TscnoZ2aNB/INsveGvXk8+S1cAOFpalpE/OBkqqXRxTPxlYObZV
Gc9fTGU16y+8AJZlB0LdEZ7HVKt8Ybj5C1ZZ68pa9NdBsFRoRveKBYiSiin4j4hxMMtb2QdMeeBD
VxTBMdzaHVjN9qhzhss2qYal/bKOW1p2TSrTGfV87euGrQJtqLx9XwN5upzobY/iTpq8pm5NIUOX
/sEk5A2/cwIwvuC5rdZHlAPz3hrHd4+2+z6D7x27PDEhaNCNVg4smmwF63UOrv5g0H3Yd47BsZDd
euNRZvdG/J7Z1aue9dTItv7Qof+FmyB5QuNuOhkGjeFElz1a8+geWPV1PRvfOUA2O32w26tOF+2X
Xsu+pexpEfkmjZi909iyqBFNkN2kDL4DNJ0uSDBFdb0up4uCdJD17HiDq2oE0e6zmRCnNxfXFBjT
/SKnlirQvKlb6hrN8K7xYDucG5G3qnXeQnP9yRMjjqZ42SnACSgrW+fWGtP4Xgd+9S3RufclZXJg
ZPKYWzxhZPdpBwgRFQUW9xRmEPfZku5LZZYYWLVkfC4aDV1Ly+NG033AVjQDgcGLh2ifcFHCWoOs
iadbDRlmv3G8dZFeM2mGoab27piNpiM1pliGel8m6aap2uqQR8Y+1PvuCLXvXGrxOWK3b1v2IeBL
t5HJdV52dDVxCFvLnWZ9ViMek9vQsjnlURNwuEZoa84aHEg+wFr3zHKu8mKznlrgDqFPA1SCorR9
reBe+8PYj3cRZAi8Pjo/dqnKvQK3dZrpTG48PZ/uMuizjw1UJZ9pQKBB1PcnyVQl50QfXHa5VlXl
dTKYlFEW/fzI9YzrqOZjcsEzPKHS/s50M/5oE0SBdC3Is4Xr5Xt021Ek8TR5cxi+5WPH39IW55UQ
816EtPVzdr3L0895EwwvqeMcVs80IfhW+arSYDrsiQfGPxz1QnautIZ/S6PKthYot5E33ACupbGZ
rXtgxPPZV4S2dNRQLApR/dB6YHgt5dUMOrXUFzoq84RljGZkFhQShmtmq5PWwyoZ6voKjcESWA0f
P+fk/6YWBVaiiTugCbgxLfJ4tHg0oBzTleJpZ4vr+YmG0nq47L0knnY8SeHz7w/+9r+1FwjKEHho
paPrzqfIkCEd5BClc7Zn6sJB3KRhays4wjVNwVQvFsSZRsa34FdWC8DkWBQ9S039Yjdf3aZ+1t2E
oECIG7u1zOilrgWOlM/ZEN3jG1jAJ0jtIPKWcNIRB2I9DvdOoYHTdRUFsIq+XBqZlzOSNMRHoor4
7EyKnG3F9BlBNHpktY6KEAg79VRcT5pBQTesRankDKRM1pBWZoLztU3thbvpr0NYb5juY+9+4Bdv
r8quAYUJ4pYnKqlwk5tEKkVuiG3OmP7nLXImAiaDAkkrECPxp45UisahQP5C+GXHmdKVY3jqejoS
jqDoKjL7JVlbqXw/9v+e182AfvyHFvW/NMVcj2EGk0FmqvRzf21NEQXW2InI+n0qOwu55hIfgH6x
CzkN8j2NYVbsQK3GAWv+oV1liH92xTi+e6u1es22+RzWxZtNwFTm9XuXYdvGZlHfpvhyHpORuGUg
VORD62kYhPpSbapVyDwUw5NXiz1aEeP190/32oH73NRydGlg4pKSx/tTH7gXPbq1asz2hNZowdow
gLxFCd1NCoMnkvWI1fX3H7ne2U8fSX8ULgTjCd2g8P5050sy0Yia6fddaLpBjlAuaCL+ycjBoXY4
qoZYG7eQmWEuRENx+P2n/8vbzJyAC0A/dhll/frpBTcVBDf2xcalGMto6Pi4jLs/POH/clvpMgsU
bive8x9jKnZTzJ3UEvvFSCy/R365bdPpuzZ3t52Xf5tVnvzhE41/+2ImtDKX/jZSTLk+dX/r6Ddl
G1GWFGofJWl3xXTf2yXKao8sCbRyRvcZNjVx4TrdM/T478WUz3u8evUGLiFs8yH5WPKX399rop7+
8UszR4Rnx8NOE/jTw4VVu008veYdy9LvVW3PP/8qfrOUGi+fmtvff9w6Zfz0eTYiJGnR9Sd2moP5
r7egF/inQ+IO9giHblshvC1CtzKoQivxdarmjTE4b1aefqnJfSF99UubOBo49PEGf9qHcke8Sjaq
hd9f1jqV/cdlQTmwedR5tbFT/HpZ2D3rOQLlty9QBWD/oXh2ABDuer1kyxTi2FfNdUyT7CvAonrX
VfxEWkyiQqJVr0Y70ZiijtvktYANg7abIsO8HUku2Kg0/eF0B1vp03axKEGUPJqd+QBF/Iw9A+1m
1KfE/0VBjBvAl8TMAetjtrROHTMUuhiB0XhZhcIca65nax2zMt7NwofKRO7t2spax3aXjY0wiPb4
+3vzObiQkco6SQYpYIKmAFDx6d54xjApDob1HoPxtJntJvKlAu2djwV9MdkQLBxDSpgQP27UMOiX
r0lr1bfyBlWtK2nV4qPDe99mp1rvtcDWmRINa928EKu764pouVlDMjaA4TA8Fn9cz4z1Gn9d0CSR
MgL3kk3GLHEKv/6+9DJY51uKTYpSJMGeq23pqSGJkSDLhE0CklNcu57dBkYqUafnya4d8dT8/lb+
8+GXEIV5vIBo6DpBkL9eRZGCEMPoQzzU3J7EyI0RPAlJOTh/+CDxz5WG0aGB7Z0JrxTy80rDFCRs
RJ4BEAMrm6bUPcacLbuGiOpzvnR0OCRdqWTtLiNdqjZlBpFPAK32wwJAzljH74IjfALx51oWnPcy
joDc3yyo1jNjyeGd/vZ1azKbN6FcHrSQs8vv79a//WgM8BiA2lK37X9MjktOrgJ8Wr2P8YainLUA
qpZT7RcIWjdTMTWBOfYf63lpzmg/9U18ngv3DyvWPxdIiSyCeSK+Wuuf2wSO907WhlHvdav6aXoz
wBCBXqrPW+JU5j99mvinMAAhmIFHx0VAof8f8s5kuW2szbbvUnPkBQ76QU1IgI1I9bIsa4KQ0zZ6
4KA9AJ6+Fpj5/2HLWXbUpOLeuIMcZNgWKRI4+Jq913a990/e2uihGgnJ/hJESC7rOVjXkgui/K1v
xDYDXArqVQu5AQwT35ZL/VITm3PtrKokS8cZQa7TdWE1y2Gk8d7kKHA3FnHigRbhgclMdfvrr+nn
5yjv2F4XxcQ3rzKSHy/q1p7cEm613Lsa9Iy6Q8KIBzEPB53+iVE2RmW9+M3S8h8Kfl6NK0LHKsyx
/f5OKigdVN3Ak48yBptNbVo04pM4Z7U1kRDVM08lGYKOdjh2jKdOvsmgcp0ZMm+HTy0I8kmx5MPX
oyHp8xGHpk0gOaMVY9dQzUo8vVSXtN2rzAoQN9P0dSZSGTROgvXzrnfX0yy1mdeu6xcL+/B9Tke1
LVGoHxDjWvs474DTROaHAkcoQVgs9bCeov9j6bBL8LhurUj5e3vdULp0cZfo1stuoy4sMkAK/8+1
E3bSnpebdDYU0auJBn0rJeLQZeEy/PVX+Y/HhmNaCHjYCet/8Xi+K1DAZaHpszg24rlP7nKCyUOD
9mUnbKvHXyhrnoE0uTBiPjM2Z5pt80VXCumZGkQRVk6rrtyZGdHlrIfUw2p0TsnKsTppB30vPl1W
m5Yksc9nW3tVsu6+wTHxu33zetH9eN57nK8UryhOyICw3533bWyxgm3dbl+5PIxxvUJSd9dbwkrG
U9z6UJ+9pfxkeZEbmO6Y/+aZaf18/mJxd20TzQtaI0ARP94UvjflvpoqVKxElgW1aKc7I2fe7xVM
wkH3Ws+VtMttaib5cVjN/JBtmSpozLHxSNA35lUTDDpq7njhMuXZxUYJlixidOtVB3eXz/WL1jF8
vewfGG0Y2OBZXmdhEiXtiy3XbYDNkD1jKAkMaJ3xTes4d5HpfdsoC7+SHUjdP7fjqnZFcA+QiFOF
sJRv/MfSo9D0r1aXFXsw6PM+d1k3/uZy+7nqwu/o4ROHUsVT2Vk/xe8uN9hyeZWppN43LCkuC4LS
WlfCOM/QKXIbLn2h4GAsR8xCCMZTKgbYwCwP5BqfyIhyFWXKFjgqT+v7Yj3fGufJygAMRb38VLHR
hx/ILsIlEGX/63f/87nnCYeKgvtep0193yPhwJYdwaNkX3rW3ojYL65HRT7TFV+mUSSW/ObU+6l4
drmmqE9pysCO8WB/d1UlBpL7NqcTZLQtN4jFwTWtm/vLLqa7fL0o47GHrDOXAdHIsK4Bx77x4EcS
c9Y2wEJsxCwrO/R3h8f7B+XlzdnUtdxvq2po/fPvvkw02VlGVl6+TxN0BH3Le5gpI4Z1y1qsn8qv
P/5/eLn1FkepZBo0Ez89dnJpQ8qr872y16vWLc+zRkEFesPf0jv+riO+5Kh/f6K4nHGcKCg6EbJB
RHt3rSbtyLaxTZN9khCB5aejxVnYusFEXhCrJpiJKqciSStg2iZl6CG1VXQgLYlAI8iMH5VV+nfZ
CL7CHG47x5vCxiG70lJjEyru0YDpSnfCQlbtfTUDyuyr9FyZmY9apWS7ufQk16X88HRsnXV3fZ8y
Dj9mA8nTddZBZ8IqG2SeJw/0MBY8kzpVgQVddqubyXicIrVjItmEbdxYe7IkzCu0HBoblfwWpjeY
HeRge1dgOLLA6RMvoWWgZPP4Fsup2GF1H4Oi8oiLSvgDQoM+G6vazlDNQKKcJ3ZlQWq1CwT3OsLy
xtgQv8NAzY0bnD11UOWleYVA1UYHlvtZ4MAYAx5mkfCStaNCaYGlSWmRuTfdxjtgXUvPmoxi5ruP
2JZu4yQVgcZ0+OQ5gKJzjCWvg/LNPUhS+zc3mvm+UHeFRxFGAjENsaPTr/94LQOVan2t4CmPgsI7
XPoes0A1UnU6m21qqUyU+q1smmofSQXjmgShUMj1CyTBMPBagLQoe6jr3dbNgrRI/ixAkezIYIdS
4CuHkdJohRB2swAUDovwqq12LBEs2Mp82p65aE9zrayzv/74rO5v+0Q82S5qEzURdgXPxQyHtqwO
Iuu83wyc3j+8kP1xQ3EHU8dw0OjvLnVOTsM2m9wDd0L0aILRkU3sr+/e94fn5SVcFIa2r4N+0t99
wHRhNoOA2EMwkMmgHhm/ju1Im7H6R7ue1K5Zg1n26xd9XxTwopydFsUN/QTHxrsTitxPJ3OS1t01
oAJCll+o4Re9Ye2Wg54wWelpJo7/utXhbPTkf/765Y33tb270hjR+VHAM09l4vLjVTU3cNeysnZx
KUqNvXzW8W2by4ViQylo+0fp996e0+6JsUO+B+Y7fvj1e7go4H44xtb3wIhc0Msg+l0F4t+f0tw2
rStazdllTq4F49x0h9LCF73ka5BnO6Y+3AS9ewOzHYE+d62bekJ1WvXCI/bRxUQ+uu22U1a2IzbU
e9E7IHtV01HdJXJXknb8oOa5O9pQaI6yT9xz01gOqFTVPIsYVcIGRxf4Q7+/M90Y1tuoFb8pvi5U
yB9+RwpYku0dk+gehm3vxZSwUwG58AjdDdxVZ2W2006XsUHQRz1eXX4JH1j8nQ5n5dwl/AGLx2jr
L/oSFAbakYUSLDCZRWzNJIoPPiSNgPBdjfta747TggMKLcZBIw51OxC+FqSxeZ+L0gxlu8LMIAkc
isYBXGQvHl57d2Sr3YVEj4EEBOWIgalfUPjU64690nalFEvQRkRq4E/e5W3T3Uz8y510RiQWSfyA
1VHbOgCm8LRLyAmZySE0XNlq4M1aMHLiJhmvRer2Lxpggl9fMuZPT1o+TobwaCpdRsHm+15L+n5E
JBcCDYBkzE4GrcVWNZ5hfDyWIIO35mAZu6U34Mc5YDcEE69tZksPLjOJFVrK9Cpnv7wtfG6zrBoJ
Cslj/a0Bcsh62V9O/BSg7yPAfey11YFB0gBgIHH2GLn+XDJJzlgWEY4GJ5qFSmftGgGfEkthu4U+
8Ix/ddiNk0bcqWqDHLDEb84N66fTyjLoublj8V1xAxvvuokMapzDOMXeGSMPb9jy5quYFEsw3jgR
NINH7EXtQaFUk7YztVJDiNMkJwNSwmG28C9nCWEJZVGXH9J4lXek3Hb50tlA/+yMvHcluTCdWAta
xHGB3nKNAKjLtgZR5NuBfCogKcN+mhMDLYH1qEbzhVAJQD6++xgl6Rd6nWEj2U8RPKK5hxjRxnVc
pd5dTz0ZJgWWdX8saMerRAalmvq9w2xgb7Hy27GY5EIfecnJL8zfzHD+6dphc2Ex9Obc+akohGiU
sKPk2hkL+xtuA+9uvVfaATKqMuLxN2Nc96cnF7Qo20ShxiRX+O57MXM5MKvSh54TFjlVkLGHfkFY
lpzkUhlbfSETy9Sj7CZx+uQkvJYDr6X8MhQf+jQ2VPCQ/LdsEz+OfnRWsXMdLTYxn6h8iD6Y46wO
Gvh0/A0kr/xdYoucJYCLFW3bjMeHUNzNlO3f4BYs96JGzGc0ZCsbdQ1GwOQekDSF56zTnRD8RLxL
kMR/UNBeH1j4R4EhkvFepiA7LYFOI7cMRlwglsJYo7VBzOUf2cje9/hjDj7Bqmwr/YGw9Mo9t7gr
rpXOsdzJPN9169thY1qshfj4wZ65trqR5xqEcw+PpnCJGmp67sJeI82SwCEw4hWc9cgF3D8arLMT
8mLhlpCL042xtmv4IDeJazhhwiyICpQbYvnNjfYPVwsXCbOYVY++PiV/fDh1YAbyktCcndciysls
Pr9W2jycamAPrs0N8euj7efXY6uIIp0Si0bdft+lOzm+ZG2p7V1RlhQgkrth9ewf0RyRM76Q3fnr
1zN+Lixp22x+N8DGYDLxU/74G3rI2xoRx5BAUX2E6YwyFPyxc05LFlHVoienybfSMO5IMa2H9tB2
HBdO3pghhHKDnLeKVYByo+1E50zEGg8qfeSr1murRZRg9HvZ8KukTt0+lB3HtV2tD3cIlzx50uLO
ruq3eT1G4sqGkLSaQGGBvKFfBPPgoArNiEIIYmaTT7XHw46c1etiTPIdW4ZvDT70gJC5b7lbvImE
967p/bSDdbGcmGuJ0BhAafl1+9SRRLk1NE7+y6NV5pRarRcnLyjKzBDo3nJvIPJFI8Ld5OOp3idc
gqc6KfQT+MSVULg+TUtc3bGkLskJq9tC7lk2+nqvzoLzoy2H+XNFFmeYj1znS8Mlnrdtd0AVz7Mn
59jtctnAOM61HZ+bGRYtb0jCEgIYybPe1xK2AHMz/f2nBdc79A9t17oa3XyNMiQYhGq2ePJnmGn8
hCwRMPvT3OVm4bhIDUU90E8LH+LUHZNe966NhgX+UPC/fh97gH24Q0mG4nuKqSCqyO8h9SP+RvPd
79u4a29SAxURueY1zwV+TY0UhZtRWxYSwoyOPKXa2eNR8o+iTPnsCtvbF4vzwcGfW6LXhSdiiSN3
50iqeI55WnHXxPbs7eH6UbKklNGX292HO4obAqqrpvEUkOQxbJOSzz+B60fTztdxudr/13yf/xfi
3g3HsBjsre3K//keKv83LP7mrQQW/2FFvr/lhFVSaf1FkT9++c//+O7f/g19N4iYFJ7HT6RYRbbG
YfBv6LvNFgA5i+FiZrL/beI0jT8sLItMt1mgmlg5eSNdPfTJf/6H8P7gD9aS3mXqSNDk/yiw0nHf
bcyQXJiXwSUeFiCV1vvFcBLNsrVNB+gTDs5iD9tILVvdJq0EL5f91s2RuDdmvd6QLqjjXV+qaavn
syPQ8Xb9TtmuOvssLLf5qKNizYYGw/qHASlMBWttC7HYDhByFEfMgOPnJB3AtWSp6WyyHoEZ1Tiz
jw1kT9AHLHVWpnuqP0SFYe6qvlluhSk7cKcWdORq4F04gwem1xmmUM/VQatk+zVuRzKRoJFFhH/D
pS18w7vR+yE9x+yVwhk0EywXxHmlMJPQ6ss07PrMO2U4ATCJLIDgjUzbJ5npf8lgtxJX3sz6jiGc
ta/nQX90lzS9zaXTMDYRblCaEweD1avlSjMYVuiAj3ZicXHAmAVEISAI7VtBt8+oKC4IzfEaEPYx
Uke1TaxRbAx78O5VkcWB08j6DieL/KxTNN1YuX62Fvgsvn691MjlSNM5LHNB0eyeFnu+TzQ6Adsa
7twK0TPfHGMp8j7MFpy5E7dH5WVTv4MuWBTMU0p5Lb1J9YQaR85Tz0wPQTvZf3qAtpiyJTu1+cSu
Al5jEFVQHTde7cF2KWefEGZQZuBpBlG/aaY2X89tG7362WQfs8WTd0tnDPV2EZrzVFhZc9Vmc3eY
HE0HWQynay3i42D2AIZshG/kR6ec3MPYNS7qv2H8MLK/NTYytnOiKhbaH1NbfVJwmmrRaH92Zs9z
ILfZa3Gl4WGoFJM1YEQnQhmZIcUJcCpG2QRcW2X6JXUU3FquygM4VIbftY2uXK/t6nW0hXPr8ogD
L6pnn1tZf4JS7n7iWeTu3bLKH8rcGu/gcIGgYwu6IX1FP1dp456zgkyvxgCsCrHgHNVTDFx2qnZt
Y2oHX2c6C2pU3LtQmliKp7B5sVFxRduAnDZGNNx4FXb+YrJATYCxnLaGWxrneWnrecPR7z73rkhI
LPBVcoQwPz9OaTwdS9UZd8IoSHSObTm+0akowuEImjSXLtuP+dK/Kqx854jglANbM/Op0z2YcuzJ
1C15Ru1r4URNu82zBagW7ZLd3GAAIIM7Umxh0DzzzANpqIW5qegXImBIByaEE2UJVFCisR11NzpO
+WzVWgvwXeOraGAAJyEuadfaVGiqTwtEma1Jgs2Vm4ko1FLCyjgu6A1zQupvsoSHo7dYxZ3ql/48
squ/m4xxtS+49vxIgJdxZeV91xMuZdR/6r6Ib/V+xrgrjEzsRlpjxO6uvsrgXe1URlhUaCRUbfCi
QNtAblbXESjHu65VQ9hHUxWCVysCw2Mv6BL30+x7TUnISuBePNeS56T0Ekq/foo2IKIY0dkkS4Jj
KdKzyCKxc+vZORvIe0962+P6MkV/JmJWXSdlUb7aEpICW856ROA+f5BIu7G9SjN6MtpSfDbEwopS
selDLd+CD5FTkFrgGlMGDXs3Nbi3ZlXmN1FcqHtvMKb7GQF8zw2HyxcfrhtwpIaG2x+0Rm8PLmFY
Z1C4OuW/PV5BX2ruDMcv71LbtZ8b0LHP1Lv1V2Xiet4sUy0O0eJpjy7U6dsR+M0z1HQNDws10qlX
GSUMotIToyou6co0v1VY24LaUCgja90INDm1zyn8bS4K+JlkgRZLSLw14yPLN/Yiy5Md9CC1xf7Q
bRurhf+hsap+tFyQdkni9TAAPTUfCRkwz3GZLvuZGO+9x5wLpUW7BDH5NsesHfyXSlsnc50YHhpS
Xu/434gBknJfUmWU+zJuE+TLVXMjMObfUPFVrCD7cWcZonxl+eq/+oRr3A3OmO4FAmEi/ZBT5hS1
SHRbE7ed5opjm6/9XsPEYYu7IGGNVgxXckTGjoOzPVqLUd7JZgLck6d/srXztk7VXcmEXFmXp1oZ
1a/SXEjXmQf3ISakKi6n+egh3XlqsmL8yoBYBU5rTvu+VVWxcQfRGKEzL7gP9CKRyaZFgL7TZhMU
Vd+a8ixdrV+HOLiyBhxgxRqNGAGOOtg0IZB27Y1lvrToRWBiatdGPR7K1bDnpvH1pLV0CPkUQrdj
HpKVzcGXJYjc1kATPhWVDMlPgA+L/s0srnKzJzuO76SE7j1A9BHJwLiJOOJjMsCA28ZGXOGwL0lv
bdtXVquczAOj0q2nzEmybLPVY9stczBYYglFo0j/8MvxwdRajFCIa/0DYrWZ4DHPiTfwrjcqe3AX
slQK9o93esfzTA5mfoh8IT833lxeQRE1wopr/gkCGGr3SVrXCfKOYK4jGRhdNZ+AN+3RHy0HB+D5
voJf/GJM0Zech1ZRRm8J9sSDKouQT0U79DSpPYTGxq6jo29Y9XayNCB1dk5CWFbrj9Y8dh50pWy6
TVgN96goGKVv7ES3AqeajF0JeyZBc6V9m6LWuTJE3T5zfzRn15PDwUQmuCq26i9lX44HT0j3qhdy
eWsThjl6Ut1FubHy8WZytscyeuQLKPlMBXaxJm+9N8i0gAG7JrmBCZyBdJ8BDHeTsZeoHu8Ks9LP
HaksL2rUx3BMYsncS0M1v1MM+g/CQQfA4aSzo9VMcws+h+0TxINm05qshdLYU2lISLFj7Z0qTY6V
VWkPbpzHaQiyfjxU08q+hXLkkEFOMPED9UVaXRcxPUGglUWSbDgGtslR74wFpUPTZOoWlk97pfCI
30e9mX4tOXEwWlqOIr6S1WJnOukHsyyzMKPcJbfEMJ46dyx2k6gw33r4iw4lU6qdmQnmgXWqh7A5
0m3jifSgl+RkDq6SD51StxopkZVE3DO13ZHstToYJkw0Hp4thNvEvnSMDrdtp6YvKp2mb0qKL11q
t69uMb45khjBjU3M8S1QVgdu49AfFjdNwbWa6uyauMEbqWOxtUQb1BGMTbdLiLAl+GB12phXZuM9
iUWVp04oLDQ4IPB+wSJJOqiwheziwC7sapcQ9HLKqkrd9kak7aNaaY9kK/SsIg2H0U3lXDvZHH3x
zMbccY9iu0oWk69hKJ9Su3auU9NDWE4y175bxn6nZbTsDkbHRySI7dmseHRuM7FkgW1hpN0QyRhf
sd0cdx3CuyN7/OYzyeZT6LEguyOBcwh1VbsIyHlw1l1m3ww1vhetiMwwbjT4zcQh4VEB0EDmRjrZ
IfGhhNXm42rVSZWLZkBPdlnvsm4bcqUdS7+2Ti5BGSHaRutQTo7xGPV+EoJUsq8HTUQHe7byfT4r
47mHgriRojMPuTOqY1pE9Z2ritnYDM4iSM7EM/9ip21/aJDcP+imSZigSONbKyWQwHMX65kHHQE6
TuvRHaSOCC3l5VepUXqEFfcDR4usvoE89K6dzi4+jMxt9jDv9LBB/HZYcss+EkOI9Ywx8bEapUHe
ZOTzqAGYT5xwbgZQj6dzp/f3tt7tqFP1M7uMDDlG+1Gj8UYPkdyMs/apGkn7IJLV/mDir9g4DKKC
tKZpkej02dboE3xSHHct+st2M1kp2LuOPGBnKDVEhN3AJKJEtPBAUqXzpFuLHRA0FfEbTMwMIoyd
33WWd38tNX5gdbyfTf/Up72bKCEqAqWup8lhIvNxwwIrh/vsAxL0vRTdDiPLrFLah8YX05MHQvNl
9kZ5ixkoPnmzaD5FqcpCa6TA32i2iPfJAM15Mv1lp9sabDU3h0/GNvSugt1Fdg+5uaTS8g3oeF0o
JTR8bC+owjSNoqYasbVhoJGja4UsdE8e84c/Y6eOA4RL9a2WFeybWud5aDrjqPXSDqPGN17EMLin
HjH2llhDRn28923FBvnGKhhmFrbZAtprvOXYJq77SqUe722A/PBk1Vs92ndDPzxaVCgIAdkiowma
Azgu8/04VOcozRe8OTmpsCwkEpaZrR/TlSaJsyumFuqoHrf2F9E3sEg1KybScy4pCkOw1/XHRZSF
CGTqgWNtE2c8R647H5OGanfTxwxjGe2Otx0Uaw3jthFdY5UVX+1BT79IRK+BtDQ3VCxvH2pAjD6i
4Qa4NiKKEKyRc7L6QTsgooqCLltqYLfekC6Y9/Xp69gBM0uWBvKDDaC9LUGwTk2xY1upbxxpQ1Yh
evc6UrY3Bk3ZIgYZ7IXU1XrsQstY0tslr3hCJxU4cPrXu1Rv0cqZ05g+cKP7R+xj6kh2M6hJnQrb
ABH8TSY9pWCp1PREiChbJxK4e7X1mmogkcrQ6rNY6+zxUnIXl/JbrJU4T2GK8kyqLuSDFDudXp6g
SpUkt+ZayQOJ42zy1vreuFT6eoZuZVjrf6V5/dlfe4J87Q7IHE9vhmIUDKTZ2N52mSJmCSzBU7k2
GO2l13CozDiM1hbEvHQjw9qYlGuLQmIS3Uq0Ni6qTXhYOys0IVknrebQaHCekL/4l5bHu7Q/httW
8tA37kQenAPtrbX9cAZ6zBeec+H62CC3sW24b7JCeQ0XB1xCNfZ31tRm+5l804VDjH4LPPKjbC2H
ZBf5oIk0PYD2rM+mJuuHcjCsbZ1SKeMvmDSwA+ly5QKWA+O7hnqTf+5shmzAhuVRhkEkwKufxLrx
UTS2zZbRNO+QPLrPDd8BC/m1ZczX5jG/9JE50urrJO+ZFNBkWhUbOHXpPJ1LF+qvDak0zHzfrE3q
sLarg+HEZ3RXZySJRHmuTW25tre8ybXRpeVt1+a3WNtgZ22IvbU1trXY+1RZzaepy3J89DTQw9pK
M0SvXqu1vfYunfayNt3J2n77ayM+X3ryYm3Py7VRH9eWvV+b92lt4/tLR9+uzX21tvnL2vBnHNJl
xEi6Z5CJuewyGcjXIQERQu7BXgcHoh/84NcnqiUYwX+3PbYMCwaaZTirm4wt8nsFbuf7Jk1Co+3n
3rOuqjw99gL+kj1rfigEdbrwTftOt0Dkbgywx1s7Hez9KFzjU+clSbUF/Bl/mcdBXZWFNZ80z+ju
PKZ5LxQGBFTDGB5A06KP9RdJ8aQe2rJnw1RqMuc7zcxxM7tzftB7ms4V72K4AatB96rz4qoO+5l3
BVdspLKKluqtXQZw6mXvgKRd1oMM2idnWnY535bLWWddzr1kPQL99TD89Qd22X7+8IFdJoUU07CL
2BFftLrfCb/8totna2LgDOTycXkxX5o37aV5UDfdPZD96pZE0l+/4kVa9+4VWdj4rmFhWUEHt64B
v3tFxYCldPo02o+OF30u6i4lG5hI5xt4+4tg0VfLUzs3vbM14jz5bNiYW6UV5d8Ww54wQ5IrvEN4
CAkDO2FPxFNk8gwXtXT1PbsS7WPXS+cJeQyPOqeqFUN2zKQ5FMe5PUwNVhCzRP1LEt50pJLhfGKc
snFcrHpI8fYj5SfDhjLbFexVdnOnmhMgoOXVURn5OCoqjmPDGB+6ifahTFV7Hvoqv09Q3p/EGud8
GimIHxMoyG+WIjYZWs4EpntK22eLtCHOL/AgHy8f6v/X03rdoP5bl8D//bD+qU3l0L79MKj/9z/7
a04PVJFQLWddFV4cges8/m/covEH2iW0gCy3nHVUzzi+YjKzjuOtP2zbcdj1Mav3HFN8N6kXf/jC
Z+vIplqsfDfvP/61S/i74iPb9r+ltSE/+PHAYk9qogblB3Jk2Twx30l6ZJVr2mwZw8Eic5D6vRcb
TXmHcix5qPvTCzuDFQqcFFu7A+Ox1P1X4uw+IhV8Kd2CoXrDuM9u1Jd+Tl2IFyWDs8mBgq8ZGq6e
pnrMpd6dVofthjTUKljYS7Fvy+6RMaHZA5RzqFZUDZmPN8AcEHClc0IRY78QetfsnGF+qC39aymL
O2OmPiMrGUcfPCgQA9oXrugbQtcFdHateWUjHqNGHqcD0EAHeYQZ8arx+Jp2xYFd7Zkd3hosrRio
lE5M4lcEG11gPtGbGSi3mVXEtrnmqc+s5Upq0jknBHdDUXctBht6MT9Hfvykp/mbStqXHFJRgUJ2
xoCEioFwgAksLpvXLXUw3EVhDQ8Amwhxyq2zZMt3FLk97JZoroMYmle+aQzkDcx55knBujSGb8bg
36wx77ROpnu/6uu2vkzCpOny/QzxA3VqU127xE4TOddFn00WlwcHKekVpHMZoP0Q21pBZc1x51+B
AHQ+98782hLLjQ95aVb3cbcVPsN0WZnyM0WUdh1hhD36SjICYKwXkE9vEXfSDkTz1V8zowe47zfu
bUvZtSOkLqPWMFg46GCrCVexwjwBdqH8pr1qykk8eN3yRUrgMzWa1ltVDPmLWc8vlicTbP4kyJMR
A+mqYy3R5EMoaythk6rllNXFN2DROZNKBnI9AA9n5K+j456TnWKOGY6lfkUOAReAl8PokG1ySt3i
KXWcJ7fvMqILYN+W8ZQ+kXvX0X/gMFi7fpTdcfFAJe1tjXLMEaz5JjTfpCOSxfrgmrhx3VijOc2a
j1yv/tdJr/pQh0R+szDDCco+KcNRdk+RFuGznEKnnoACLB0xTvg3GLf4+64i+Q4N0qeimvRD1ncP
hi2nMO9duSEVr2M4VPfPejzCCXO8h3H2nyBA3FWmxjXL/b4dmYpsmH6b2BtG+JTT1MURnhvRtPsS
086xilIe9SA95J3lTDI0bPqmpM2LWx+SVlhbsTqWqSF3Dtfgbdx34xUPuxRFDzJMpjMcZ363X3oJ
QjgDP0IDa55Y6mcPXWZ5eyFJutLs7tlgpvRYkmBypRBaHIye+MLeckCGZGKfp2P5XDDh3PJVkUlr
z2NPwHkP5WLQok9tLccwykVDLGkXXy2zcppNREdH7qrdimCI2q+1bInkAwICf2rxb8jvme5pcf1A
TljuaUXNbd85VzwSzVvaDuw1kc322VfpvTJowmbpDbd6tqD0Ijrnz372AfUvzcZRbn3w9Iwpm1yM
+yjvYeNoNGZzMtU7uFrwP7rI3Y5OTLBdrzwM9NJLDyKxqyJkIl9BldSdwFfa8HHufOcDVGP3wKwx
+oiblN23jvLFHvVsn1pucsTsN58a104/gC1qznHdOOYmAX/zUBDCegMZZMESWmQfnUp81JOWJZoz
E8kYVwfZTXeyH8VX5g2EcSqHwKW0oxlAS4UufyItzUs0jD2d/Jzag/o6ml1560pTXZHPpg597xWo
PiUttFvkO2OJP3pWIW/A5p0wdorAdegwIYlBaNC35WzWjLAbwNnAP2nWzCwoJ/pGOSbuySrK7E4t
kTxHRp/dJrpvbGt9OA9OOu5Lq28+VvowbASWm5u+mQeiJkCnDCk213LNmhmzJfswksW4K9S8PETJ
cj/ZVRkID4RePSty2LLhnueQhhE2gg+k2/HnFn7GwSgAbU+NHrJ5YYsoqv62zj0bVfNC0E3lDUEl
0jPdGgSN2Krv7YwKukytAQiZq0EIdQUtKQoWIGQz00FYvUfUjkPQa40dXGK49DZvASb05I+WJCBE
JRyQ0TU5hVP7K8yVKmBbY2wt379ntPBnKjxcjBn0QMtnxTbpEp3JmCl0it0CcD3ieIkQaZNE+Yyn
j6fi+h5Q9zEsS0GM1b0vPnpsnrcFnU2IddW/hmwCl1CMtgUO2IzVZ41ZXrZhstI+Cel9s7vsulQD
py/8NJUYoSe82xFp6obxpakhy0/Ug1AJOkUv1za2xlycUfm1qzvZs8R0GzYCuq2/JM9A1OmyyBJ1
eCaQjaz5n3B6Yd305Zd64oJyuuJpbKjlM6KNgqrQb5ZxuS4ZgG152mUfur7FrsxgGMgg3zT5nNHO
HGOx8UqOnt6vvlRigXFRv46uiPhQCZoIC8Eez0WYAvi9Sq8gAd5h42ivPT3GgIN5LjUccztHo7et
yagOvAEiQ7swXrMyxrvdmLdPCNr6YOmwtzrw+g/mVL/pGqcQtIggYhno9PbnmeRtZdlfyqGC7twb
FRYoGxkFBdz/WiX7/ypv3FjrVkJvflXuBm9f2re/cONvMbDxw9v4tUh/qn4vP+Wv6tc1/yBhyUML
gv1lBYFQyP6tUqGOXTswXpOHG1c0hee/ql+dkhmrM+WZja5FUDH/S6ai/8GKFAG6peOxEAjJ/ifF
7zsBH7JS5CnYTkF5w+jA7vdjI5hlvZjMqIhCBaoqy6Y9UaEINAQsVmv/3ef0D5NW450ImN+d4noV
460y6FVD/+NrxfTn8BG6CExsvYM38zCzb+tyd1chIFz85lOp28TSf/SZ+bvLbVwSpp6YLwV3nkin
00TiFg+Rw2/eFZ/kD9OKy7tCMOmZtBs+44of31VEOKKPlSYKZTLTnzZHdDpQ2gh7XbOaFwcus1Zu
nRZNJag0Px6DGWnEJorBShOJIOT9r9+QuHzm3zfnvCNPmEQAmYil4NS/e0dl4koNRCTResuQsCK2
jmgNrQf2xdEtGhDIb7ZW3MpiHBigOwueW1AG/WJTbeejdSRx51VrK5tdk1GczMGLTpbF88et6LKH
lmeKeiXBuaAPGft+49TVtTNu0lxtJo/JSWVjY1/jVKCGdyRUgiVbk16begmaxGa8ZF/rjRb4MttJ
qwqygjjNfNgNSXrlaA9K1P/F3pktx42kWfpV+gEGMuzLzVwg9gguEdzJGxhFkdj3xeF4+vlASZUS
M5WVOdXWXTPWNN1kco0IhMP9/Od852qiW0cHxGbWxDBdicexZzgMSJNaxdCmxaumJtDWtzF7jbp5
kLmyQ9RdTMNnpTjYDiI8DfX7iu2abm5T727oh/uhT+HeSuLA1ejszO4O5jLsPFqAqWo2IMrmLUaM
LjxN5p7GzwtqHhfEERaYEYAwBXtGDiRE8TEF2ZlkCpsPxd4wnPXI0MVOKaQGzbeuE1euFUFJB2Yk
AnN4fcWcwDofULqxb9JRBj2c35kJduzD2qAQvbXuUcD2SW4tsA7ttMzCu9izvRjWIeC6xCqxoIpF
mLU8Pfwaj4KRWlyVjXXi9fQTxdj2nZ37kxgw6GLjSJqlVoMqvGRUf8b4z49jdwH8yFdVb1+ZvDMH
d6Um+UKJr1NRbpXmQlbOmpqn54EtvGkC9Sqf2valgDITujU1fd5li/vfk0d6NLcuqNLcddZxPi7C
ACcAkP/qOu6Cp9DJlXPJJmPpEGlTqoQ7Lg6IDu2WnU8XeMcgN8uX0KiD2K8qnrR8qJKIPEr22soi
OulTWD57Rsy+y7DmN81cBa4F0c4R5rWj9fqtneoD+k3YP4ph5oJQ/r0RwqHAys7U8C6v0gJssEFR
ZFCwmYVvCbIgsPr8mrtwv9bslmJfWrAg7Aqw0fwV9vhsNTLbFlbec/SoqXaPhio+M3rj0mpa+9RM
g3PV0Vizfn+f/s9N8kZWeDCfv+RUqMfsdeKX7sPtjct/LiH4tSZ0/lzMotAff9s3Tcj8xHlHJRpI
xB1P6BwA/6YJcVf0kAbhCr272Ge16Ptd0fqEPIMipWFKIacwB5e+3xaNT7COAJMw/WQdNwjhfNCA
/kwTAqXz820BTYiqDxKMlmdZOEvdDwopjXpFpaipt02aON/KSE0XYeztzW4ySJaGwCSscLxJmWVs
TKIZizCaxtu87ZRr0ln3TejV5wrztqswyMeDo4vhqh1MmIg5b8iJuixNcCilol1FYGDHh2EkuDMx
OZwTKd3R9wfaoHf7AyjbKwWQKyvFGH22lHTyrSEp2Elnx8RFgfKzBJO339o4Mcy6N7l1xh7OZxSg
G8pU3cUYdAGri6zOm8Qco+VswVyAuqBbiSTHJq5SB7enZ1pbr/XG66zPo4e4ql7TSSmcZdgZWN7G
OHmK9eSzgBWwjU3zIkGI99MoSw8CGtOyxbG6LEz5NqsFS7PHZDRagoO8EuRXCTxUbhEWJbG8zwU9
Q4smtsbF1CALUyMLGDiKH4YxmZ2rFVXqtCbzgNB8fWEZO6aNyV1CwQtaw1yIqTPqb7lEKA3ucobh
IvkirJZSQfo+iJvJrF1oqmgXbqs+5drIIQOs3wDfGm8QNt3wehAjuDgcB0PvZCcGKcomE1bAhNoM
1JMlsKn4qAiofWReoKNpLC/IRQKgF/3uqeGnWUQBXNx18hRglFp3uFA7cgLNwEmbuQy42ihU6ATK
aGMbsy5ZB5OOVmCCFQwOtJJjuopcxTsMZdvfd3oTgDiv7ZZmdkn6re6sWvcjykLt5WBJpAPoLgN+
hrbKTEAkpvpi18Z4VxRjQWGZ1zoc1Jya08sAp5PJmyI9Yktpavt5bYYYmSBgD74Qk0dpKnDLB4SF
5nzqOhP5pKTGD99SYNJoVgCJ6QRTmabLqJmvGpAVXjFcWqbRaieZdm658JIWTCZhkIyprKkxD/Ua
TYirpHGCaEt5aF/vucKM2YgVhtOydWodiKUo3soqzg8OZSkhI5iqqZg90HPjJ2im+65NKUMWWmOJ
hS28E4GZnZuq4F3JgNNvyeRA7Sjmcw36nB0nXJnGBbGUh6x1jmMyYy1jFcdn3GwjWmJ9q1HPM4i/
fmnQyWcMn4PKvO7hOUvNlBexZzD8gsop+vosCaH2puXOjgDADJRgzowIvH94y0peMl2Qy8xlvgvV
1DjG0lBeuZyX1EfO+tRR7wh7FKN7UtWaWh4x+uxh1TXThWrJQ30zplPeDcvW5XtA4Dzkip6cWlXd
VXYUL0WDbkUkyFzobWIvy1nLjbMUDJ5CHazC0MumYpIwqF+LhnZxyw23mTVR72tEN7kxRJs0dRLK
s41wW+NR8pnh0kQjFeb6edku5DSpaG+l8myasLBqZwNQI0JoKBkgQlilm05lC1YaSwencb1IPKNc
BlpRnqtxYj95MrwGdxovY1fvNwxdKt4yyRrrtLvUDKdb9H3gvEzm1K4aTWKaGtszXU+YkAfuLoJY
vhss55ql7xwHfOgb9I7v0xgSS27R5Jxla1Pq9gav4iZHzNpwYPiSQRBjTytfQ5p/jUiU+CKJoZqt
Sw/ioL2Kzk0/91P49sPd6Q+OJvr7Lv+3PTcDBjqbkP9JDBhkqslV/3wKwFZKPB+o9ZbqdCx+OeEx
b8rQbsKxouyvtHmXKFNvVej8aXuulmP8QJoNDPM4DGyfGZJHrJOk1vG8lGyVaFLsvVU4po3kuoxd
uN4aTbbgJlJ5VzaF9jLIgPez1ggSc06VOTVuvKmxMe71aPlj1Qz7VIs4AUShrTS7BnP7fVdUwWGQ
yUAg9n01Ud5Xlvp9lWnnBQeqU4TG1El8PbwvB7TRpuj8XjWVNRpSctUlCjJRhvFn1zCk3TXCDl/0
oALf2oXrKrL7syxo18KjnKHH6+QbRFVVMxKYXIvDbFg9MFHAqqazgUx1L1rm0E4WOgV7/tAbV1Ou
dT4QkfbMLgKLeTktMt7QYZkt4xbFLdgYBYYKo3e6V80ti9tmoBaxNkgurdK2htTQpsSgNgmA4n5h
TzGVQsHEu8VWk4arm4N0uTArLUmv8Vto4iBrNsNZIixkR6hoo0cihxNKjouFVu+o9qYjG9HZoJZf
xGWTHGSomcfeZPZIh3RYPLIotIusdqa1RYcAQeWpiXlBa1waFeTQsLN6qBTJqclKfW+rbJvKME+0
cygX6UXuxU5IRrBTk0UGajg+yxl1YedQnEsQ98rGQdJ+cYNB2RDn6o4B1i+f+Xb4EtQx79Yxrvsn
abF6De6gX7LXVU8x5lw8xNpnMwu0rUqdIC3rFmMdPW+OWcSWOLb0TZYDldFqUOECv7XTK8PBDQEJ
2WMDECNqCZnry7jRXCpP5VnVWQ9ROI0rnrl7whSgrtI44JF4HNDcaPD1SrvJKSsHRjpuqfUkI5EB
0RqNL5goKDXFVQC1Fr26MPFaRt3egMsQaTQd6NqhzYP7IKQTssZyP4jPiF0+btYLdRjI2Pa9tR6n
/gt+Pe2CKN4rKj2SYE/ZoobrZe2OiruF2/VswS/fU44LX9dOoy/S88SeCXV7yktd7lqqpXDIzKbe
PGVIPLQvbBY5klrGl8GcW2NQL3HUh9SbaHF8MBPlcYLBusmlql0UtXeOX1oucDnpK9qBJdwirVyD
I8SG3yN0QpieEMPpHS6GjBQeqxWQ51XnVkt2CeuyarvzqdIalFYpN1jf2wWjnmsKNcbzTNNi8mU6
xVuYu9l8aACqiROe6FBpCQ2GODaHGMMWknUomJnBSXY4MXuWLnxdycxXGjEGHJNa9QY0F+oYhQ5r
s59KTrZwQGgt5rOxFS4TI002tRgT7rC9Lh/hQJDysEep32NSp8Z5aHL1Ibbi7g4GPsEe6NDJWxTE
dJzmAWxEagq7OdE2ttVGafooXJV1k6OYc49u5rt1+n7jrt5v4vB2uaHTKxvGW/f9Rj+83/Sn9w1A
FdIL71NHPr8l3zcJ9rxfiOadw/+ctoqO2PtfOm3NxIBfn7aW/2hAhCP/+zPX/M3flMhZb9RRORnE
clR6J819UyLVT4x0fxApOe58P3Opn/gMPBekMV3joMSP+37mQqS0DXLpTCtgkID3+ztnLu+jbwie
hmFiA+CfSSfc78bwjYKLtNBMcg3xW+/YF05jbSrbu0mCCo9hoq0yyRx6YPwYh9ixJvvRwRrce0/R
7NzUlPDA3OUu7e0NWLm1RvNMQhVos+8oQhwdDO7BcA5++q7WjU063+zopU+mhhnqooyQTrLqgO+f
INzaFnwvSNAsabYmEbvUNk52Y11YNn3TtXkyAw0okT8zZscwWsvKwwlbX2Mnvp5GqMZI/WbEUpoT
j+o+T9m1DIkH0w9vjfbaMcW5U7m7PszPtMq8KMzxrjIA13TF0bbUVcXqkuXsjJG1pB7ckFNzGf+Z
N60dbhuRXOaBSX4hIkvWWs12CsTgc8g6daGzJdRHGYM1PHWNd6O6zcPcU42B2KR8xN7VSrrivPai
dMayrvIzk5qPH668P9hJaVwNP8mp7y+iQ/GWgeLNVfPh3CyBSrSRqpgwj+u5v/0dLBWK+tKS8tKh
lBkeB1PuyVkp8NsHXpk//wN+Z+edFW3VsTm/k7sEZvDBzktDmFt6Oi2QrExThRLk9s16VDPNH0hJ
MKfXLzEy2Zs+mI5JPd0NRWycocHj2baBsDr+qzS6Zj2h+FK7YcRrRwvyFZ3YZ2PWbPs6TRe2y/FO
nXMMEwqpaWX5klgF3lQMB5C+RbYScC5p2bD9sgws0hrGocbryFY/UFd9q79IEUhfjNMJm+tmasl6
8967N2r9gNPi3E36A1XD9b6sq/Dw9xfS8/ilKdvyrXsfCb2UwFLjMOre9ZLf/uuXX/VvGCtmQeNl
dzVdN+d1yGKV++GyWT53zz8FjP94iPMflMn+xy8X0z/8Fb9NeLDuIcCbiEWUcrGy/bCu4nAijPw1
VMy54od1lQwy7ip4bxigZpjRb+uqCiWFn8fDmX/k3/I3aR+ZCebXhRXGFD2YMMm9D4ebmlluEtpU
SgXiljT8uXejrUFnwPxjJxksIKSwXKrtlXHLBJpNN6Psto5RiO+DsVvGgUIJkUk2OX/ygmGZRvBB
SY4qa/INm6FyaavId5H7WY7mMqrwOPXxfS+e9JiWEUmmRp2ujUrxhS450jXgXfYMfKnfzraEZwf9
IvzCYdEvrDPJW6oQ52XTLwL7jTku2BuUEDq+NHtnJcSu8G5dAHNbSqEsskhuchvtyx57QkqYEpQN
0+BmjVsnXJR9djFGT4WHaaIQnynwY66rnvJ6wqsbUmxhGbJatQ40iOKlyy5tFwtHT58blnhCswxt
M4zmHDiEox+1JLkOs2lnGM1alfpWMfM96kS2gHkMrh7AR1Vdtn2DmYkucUbHKztRj8QmOcYlCZmC
EkO7WSyK2nxUSUTzMq0oB1qV+MoSsHJmm64l1rMGs0ZiN0tUv3Mj7o4dDGwtMF5Sxz6OJX8rZCgL
BKp+N8bytlTgiuYcMk3YrYlran5kO7lvE3ah4yk+hnnV+zUZat9044uaKUQy/hNeDHVvH9f79+UW
FrPGrsL53fiMbHo7xiXO3nHKb5uOPIxptsdxsLaRsFe0JdfLzLH3XVpssuoSz/HG0sxDl+NrYIPJ
wbnFCxQAZ7DjbJsq6jruxbqhxs3vA+NoDOV6HK1rw7QwxyftsjbiQ10c1N7cNFVx0CS3eZf8W0W+
eDpZWbR16RJqNO+i4yWsZPxmNtaVlT4qPM0BdxzaQdZhkq5DLVo03GBrYSyh/4GuZuRDXCpslC1M
s2NjNevBMI8SwKdtEhXEzOaNxCij7ibhxMAluZnQg7UnG3Etmfp9bU8XainokCnRcx1njDisIpdI
5m4DtyEsazWZMVREK3c/553cZhllUaINeS9xH0n76WyikcB1g2dZWesSQ1nOD+TsHs/tP5IonXmv
6yHq643eNOdNYG45AN8U4xOF5+MB6xKxy0JzHuvAwBYUZQ8KyI2o0jZ2wiUibJMJiretjeaLChDf
H3J5GUrS/W5QWkuvM/pDjepa2dPTD6vrH+wK9Pmu/5u88nXppKXZUJlyM6d6v2n/4DeeStVNiXNi
YSjT1xBnEZVAm6DRnmoq46ehIdPQXNVBejH1w2VIgVFCXXAcI48gCSCwOmR2QR4igSKrepe0j7B2
dVet6xXLqEuPSTSAFCv+ydVtGh+vbnbJOEiQ7CxuMDPp5mdZqEWOrgaNsVrtNA5mRoPEOH+wRSqy
R4drmPYFWYQRmXWxIjGnEGrE0Ng/Mz4eAVHWUQbJXpksv6mhP1SOwzUbUkNPcM/pEZl0O6MuZrhm
Yd0Y2XiMk/66UrTbiZA/W6kvoYX/A88MLRLdssQ+5ZPG4RfbXbkaXZelcdDf1D7CEtd1Cq5qos/J
VBEYrcRVNAxHwRChsoMQtFjBZAy0iW17T4gdmo9L/wZ2zeWQmYRerIrGoCRaWUZ1IzrljZLPbOHG
9hsJiOvWTh7QNjbN0BKi0d6qLN5EI0Dtgr8grHcNZhZ6nBddZN2h8G+ILGPpbD4LtCjJgb3MxYqW
8lAVC3UA6Zxa90Wl+7gP8dyOK9g952Tcjm3H3aNSdew+KHFakfpR39+zD76tCY7YhfkwpfVtGI+X
PcnI5dAT/FW6rZHUi5qWWYp6rq1IbFWi28wQXgK1us5QKnrdWNpEr5rEWtqJewwLdVdW4ihMApqZ
e51r+uD3ub0kUbDyYFfEobUOI3XNS3+mamznwGvaY3xPWnM7OLh7nWphSVTAsy6YVq201p2XLTIn
9jXaFafref+P0kkn3MGr0l1SBPeMIsm6OMiISQAhm/ydm06rSFAeRGzjLY2iWT08otMt6yZ5rDE7
+l6bgKfUM3UxGQRUE9vp7pPcOZWhQd8W++sC8dD3qoH0evJSZybZcf0tdvNdoHj3ZovIoJRf2Kyu
K7Ah8170DEw93zGUx65OtzrI4qSsrnNhX6VhcjB1/FBkq6iis/BCsWUOlG7plT00LLEMwrbgzvSQ
6AJr0rjN52JcvE54Ibr81oiKh7C1zsbGuMvQA/B3PlhTfTPmPfV6Sb+rA+dt0o1D0Ef2SpDzAxwR
HuSI1Q+1Ui6b0M2oqJvOSKj40Hguias1G6dRn02EzRUk7KvSkM+UYsFg7rsHNTOYojGHAqYtj43Z
3Q6Tux8cEuKGGq+UdJeS1gfbgm+Tch89Sm601qaroD+o4/g5x3XJpAmwQUaBnBiXo6oe8UMvgQPc
5Z3w3YY5leld2b1yHqaPZJPwbvcLL4gu2iE+YSSm1NG6M5PqbYp1Wh3kYhy961EaJI7AuHdk7bT6
KlA+D6n7BhvxaQw5ienjGn/zS8IgP86dgdm6dRV4r7C1mbWsTOWicS8q7cIyLov+KhniY4OS2RvY
Zw3ssjptGO4tHaFzM+2iJBxcYLccgCLoyWsaS44hLirqg+PdCCvCQ2n6RvbmxdFS0x/78NoJyX26
je+aJ8QybJg4EXqdy0U5T9QrkhjwJKczNSB3L+mi4B4V2+YOrADdgas0Tn2PKV1lX2riBdfAIneM
h66nQlXyvk71B9c75qOg/eOkhj2D+zS6r+m6W/SxtQzjzwKcS96/jUm5oCL982gY2dob2s+47rZx
E27TWPsyiITBghflflp6S4ma51ueWOqyxnlXurskAhFDPhNDbJjfgbgOV6MuzS9Ko2u+S964ROBf
i3I6WE1xE4W1s5wS7cZLlcdSyvsynd4dx1PQYdqENkkXtYHBpkuBr2dusXJsiNeDKF5o+dy4k7Pt
OLLaRIQXKvF19lXjtWIixTZqtRIw33IClJ3NdlhrdrYItAVJFH+ync/5MOwhkLy6sr/xiqpa1Im+
TRIZLsuWrYkX5OkqcOY0FAixZOhuMmNia5dTFWuelZXxlqrYR7QNYt3ehN6mlc15KmiE1Qj419aF
lN2GfLROJTMcvMaUhOCEpSxhZcTLzmoAE5tet8pSRfr/K5oCPUMi9laV5R1Tffaeu/1NrOYPzYwU
zUuCfmEbXBmRtue5ien0k7MmzDG1dBj1OAXuVxWhmAGkff33j6Q3Zc6/j+fRf8OTJuoZ9oe5/ubX
gtxiJlfFuAOjP1Dj+M5vp0b7E2XuOpshbH4zcIpj2bdTo/2JKAwbJRtTGhVivxkgDMQ49iEobvjV
5iwNG61vh0Y+BbNKw+qKK1aDhvW3DBDafCb8ccfGMRZT4EwXZv9j0uD1886HRdoBKJHIDRHE+jYH
+PtQO1p47upBxBbDa8bHTlE/z7CGV7cxiifRt5JG6yjqV2YrypUzlM3KsRTvodGGcj/kVQhEJs6+
WHCK7v+zrqCfrKi/VDR++qrNazljyNr/Fy5GlFIXmhrSwa+vxn303PySpcZ3fr0aXeeTh8sFL8DH
q9E1sKJyCbA7/vli1K1Pusu0FC4pLh5KH5HavisY2ifPgbLmWQ6tQcS4/pYyDAPzw9WIoQevK28X
fhza9Tth94fzg5qrzOkVSZRAM8GKZQDLCqJZGsbrtrd6OtCtwL4nRqlmy7ah72NVtSnRBnIiobZs
Wx3BNKjq4VqowqP5zerYsmVKfu6OfbfWRNRdlUJSXquVnJItqKCcHbN4G/VlceAPypc438RWeD3V
txJy1Hhml1SW03pZxJdWT08kjkmDKWWWJU50aByHRuokKrMrs+gs6dMTLCVG+YnCS8z+tNOXDkgL
v0xiTow9DrvYB//vbhEqrGGbslG/Gnqr3tKlQhm2NhYPuGbpvuwDrf/CgyNRSSU1vrnQ6G+c1sY4
wY0kC2aDTbARVoVaoBCpKH22mAb3b3vgLmHUTrmOJ8H9pB2D+CLu8Mrgv8HBsgwdzr17kvRGCtFq
RItJ3DRwtgluXpU+Fngdq6AxYzKwtrDHRRwVylPZB54H+0zGZyXt1s819JezVse87Ddl6cSHkS6G
aQm2swOwYzjMt2fEpOOXQ+A+hKLsHzM9FSb4ua581XH2vUWmoyjUOFZkMZj+no9i4IjcWV5b+32L
p8knUpRuNUUXR2VShlNiNPmLkUPVh1YU0R8ua6E8tLUplWXAILrcmBhNjopuQcTRzTDjBt3CW1oA
ncpuSiMbyIPjLwE3jd23XLQg5t7sSmVLH8IIfpwcuMnrXqk9TntALzYxaH0QLxXgNj9x0onDAxvu
g4Ztaq1VxbDUm7Y+VlKpjtEAYcjoyvoqSlz1oh7pu+GAluRimdHzRmN2Xj2rbTcyKk2MfiExSSyI
0aZ76oupUDNTesVH2l3a2MWdMslCbjqzLtelhfYRhenI1C/gKBIW3hZIT3s3VmV8b3oJdD9jgrDr
ciZ/IAY+XWvlOB6LkM2K2dE4m84d6olGKjdLLawuVZ2e9xpj1J6fBa6Qrp9AE4zjW+rcUa9UMDtz
LdDU6HiMYvJ+cxtoGTQBvb1dudVzGl0Lwy42lhrld41mMlZxjVvbwC4NHXok81b59XAg6c2VD1GQ
fnch0itvwOYVRzxS0asubpO4PdQB8Rr2IRDBwqJiJtOPe2MubXzvoa9Vu5XsOucuZVCoFFHr5C00
S5tOhk6LiyygE3GtG5tKT5xqGRGuf3OF2Z36oOJ02Vva9RSK6W6eGG8zhxLutUhqZyBJUxV3GcSH
eybg1V1adv1bH+FAczSL/Z1LRjTlZycq1I9Fm3Jik1hLH2s9b09FbmrPwgtQB2rd8a7pNlcXRYQ1
aZHkICg4qcks9cfESBgQSNBd0CGfxZR00q+U1rzV9Rqmy0DmrxFDzmQpcS65t9pPCciFVZRbASYg
ux2u6LkMtrKKtR2MguyL07Jb80vOyJXfKZa8TJwCdcJTOZvoca3dzRfCjTE501vkCFEtXaFmtxMW
kJPMx6MDsXagEbXL4ZJbmuBxKjVdFeQVHg0D3MOmN8cCgSjLggtM0/1eskZcBWD1XvMoHWFHDqO8
T70i6/yWpXlr4PNF2TQCdrFNOWHB84w68ttUt296r9B0rEMwmglZhmT3w+LZxnDwqgMbqThkkXJV
Y/Da4NuKBtuMO57BVelA7k7xhKzSeUuql2CoxEgHdAU07Le5BhoC62s4DSpGyMBs9tC2atKgWWNr
y0Lrp20mXYDEhYz6mSZAL06Z8iapbIvmRLfT26tQz+pNTEaopBSwb68TmF4rKPn1jtSnfTDsLLgK
M9N8hGmU7iHgBk+KaK/VKh/xkfUEpipVJievsdN8S99o7A8t+BPEm7DfQRUgWqgpUt9pmjTO7NTt
zrMa76OPKBddptboXdCwiNCRTErPE4EscxI2h4UtUnp3HahxdhMNofWkJwp11EPoHEBhqidwR2If
E/THigE3ME77PFwofVSt0nT0LvNCyu1QjtYeyAXoedEPiA6ZKmIKkdvOxhcU17G1EDaeVd4KuLSj
tjyFdUKYvhvAdnNWeR6pzn1WwCBh2FL5mwVa+BetgxQ+lrF+MwBaX01m4aywgLhnYdNUL2EQimdy
AsAUQsPqCMoq0Ab9aRDN1pZxgnTUzbYnrXgL2hLxfN5t0JrdGesByoZc6lZr7UAQlmeJSA1w2/Mz
Ko048h1hEWbEhrGLoDKcSB4r9qJRXWrB4jHlfutWXn3hRSwvyHFWjjSOhgNvM8OwSOtkcBV1Enve
gGv8ko4zTj+la6a4JHMH/mGMblv0sTw1RJe5szdtcypKJ/cWLRwVzHUJnr0UiNVZMfQ1N6/BTi/a
dgzXTpSX+8hqyUSb0Lq+OLkIEG9BdtBXbyBee5YU3lrXB/XWdrL4jns21lAy9lhCHK8cYIAo1iGj
xmbjEY6/9SLmkKijfbFw8WoWWK565ZDFwaTu4qEtboyiNjAIkvw9TLWimoeoQIIoK9VG07CoDwMK
XvlWW7AHnzkKXenoV6Pq6nvTA0sdtKqy0NwQ/nM5ieNUtDwhHouurzhdd295dfkWUdFwr4rG3mSE
2Xft5GZLWKXFlRfU5pnTGHoKTbS1Zy8rSmQnDLZDVmhaAWDCClpXFMUXWVCn9yUnl3M2bBToBBBx
ar+mKfbMk7376E14zcbYflCZw2+knaJpzHOWmL7upddU5g1idrqjZpKgh8ecG2Cm0zq3id31xarK
PBRJK80eC0RGijJY9tFrm+rgRZq3ijoKwTFe6yOe6yza23HZ7yTtMTNsByU6AFyNqZLeyiQhsx2L
4UkiOSTEYkx7kRlO+ujK2UcX9Ya7bQLVvTBkH+nLWlOH18BqvVU/QtRmY7RSq5icr9HOHnl3i+02
ReBKrQO9hDemDJqN8IZrzRmq+8bMGKCZTRf6zuCyYiWDpW5GpUX0L7Mwu465TO7rUR0Z0w3TNhbK
QCWfocUEM7xh3PekPZGBegzpq4KM04PXdvJz5bgUkklW9Q5vKAlcbj8EPbZTWxF4ZhCMlhFm0Lh4
mSd/ZCrSsmxX2WNc24In0RuIAencPukG1LXFFPUI7LLgneqVEsuYVJSjXcY3JDacYwhxGx0hIYqK
2dbY9SbQby2h84TFsFReKWlTbzqgLNuEDqtlUobNOlQjc5HR9n4jTLSnJFlPRHMqjE7nba4CrVGF
uRJ5A8bOU2GiFFG+yzVqw7EXh8eW4uGlYmsXDjnvC5utMikiVZyCuozP0inT1sBiFTpgNe6xvghI
Ni+cWjjLISj1dZ97yYUGHu8srHMYdUobWfk2T8PuvMFx3SLsWPadNViZTui+jAykp0KxD6D+u7s+
bGza1UYzvKtZ67iDSeuqciALLmc/o0FZQZENqKauR0aV0e8tjjPvgqlddAydbgaJh1Ii2MmRbHMz
1A+trdm3bmbLMztzAoznVJnetXZpnVjsNOSlWo0eeQOra0OKgi20YuD68LICdvIYnlepRW8Ff6e+
hIXj7nUe+JtnD3jyI8pZoI+x39wVIg9jP5sA2y5Mp2vVbUXB45oS3Tba5lllFKyaUlOWfQsZ1Q8z
qIWkp3JepS4MsbL0rROvSKJb+qKZTOVZUcz2uiDYS0idPfuyyov8cnKy/hEwgayW9SCL8951AJq6
drdoE4UtjjQH9dJt7eyxhTLTrSIzSfLLtohUw+8p5baWVmSiqHk4+cclnbn4YtUiIqA1VnAoeUd4
+TYYdO8+ICMW+IMT4IBJHS7VRQ4OrdxjowOnURWS3ll70u7bFhrZprNV9+BJiFwgAcOYsambSxyF
DYEiiJbmW9tAPJyx/41cB2qHnRNxhCQuTMc2uuwMkyNHlpVM0NxIm7jpZZT7kZG+4j0jmCNT3sng
Y2Kvwep/6KJh2/R5cRhxO92zLFlXdsntIE4C71AMskMiTlsYa9l0L6bQUXwviqnUnUqEzyZS6YRg
SZq+VTf9fxNX+vZAZqvG6t0Yd+pfG3n12vYUOn5P8syfPZZx0d2U/3df9Oc/6JtH5J9Y8qiWnWuw
Pkgu73/W+9/8Zz8le8bz138hX6XrRJlwutEQr75/ILBlZRF++7SjfbI8Ro+aRgh4/kARQeL54Vn6
1fPw5w/x6xP651/z0wNA5y66+YUIiZH+JGfOVoCfVKdfPAUffsJPTwErBmS3udrm/ePnp8Cb3YUU
B2EvfP/4+pT/1z8Fv47C2RqqFEVof+2J+PBzfnsiNOcTECN2c7MK++NF4H1iWO6SAQa9MH/w6f+W
i+DDX/5bJQNBdBt1+q9cBh9+xg+PnhYHqh2gOH149O4nU6WcmBH8v9vD/jYEwA3wLz1yGifgTgGe
sonzzx8f1gDnE29/uGgW9a7zx3/XGvDhpfvh5Z/Xp3/1SSC4aWFH5i78R0/CrEs7pHLoUv53uwow
KetfX5KvrLF/3J3+xm1A8z6Rf4WLNg9a5o8Pl4D9CdeJx9b96xXgfX22/63WQPCk/+IloJEFBkeo
M2b61ZNAHhgewrf7xNf19i89CX/hi/6xu1hETJ/e9xXxa/tH249ffcH32+nvP//tVvreXsP98qcv
nLcZX3/31zfU/N//+6e32vvt/odPfr/9v/+eb9/+7QH+/lf/9Lu+P6rv/3MbvzbPzQtEi/e91rc/
82v7Di7Y6P+wdm27CcMw9Fd42gcMxIQmTRqatAuUoY1pz4ZGNNAW1LSa2NfvJBAgEMpU57FcTl3f
k9oORpyMC4qFSpyQj8Zqe+1NkvbesBZfKcosjObMLQaj2OvmsH2J91wWRsNihCcyhgP7znra/0Xt
CxUbyskCGUniaBDYPRtZZjRLKPVyGpXriC7cW7xRllWtG8rW960BYRS7dDgEi9JHe3LvMqAiR2K+
dJnUNX6BjQ09TU+AOz2EAi7wkJYqofhHiLUFM7LFiXJIQ7joEcXJxm9DwA+g7e+xBPmWUGNFqFAM
IMxxFVezRGCz3AHvtnWnB5ct4ypf0NTiGKoxzyEA1R+0IFWi7MLBRkl+AOxPiaPuHIeFMladk3K5
MaFMpq0RxZXF0hzZpdRc8C99hprPtbTRWBBAw7+FKlt9kc8pdajfZoRc6iOCM4fDKt3BsruMi4v+
XC2AXh7TvV/Us7FXjlVqXMzBtrdqHt4QlfdtfiM5W00h3VeVotBIWXCtPUiTMGcsgNY/4o3C5fCE
QWmY7x1AjSL5uyrcdADQesRLgAhbP5rYZD7NBeLvITqWhXkQ9P3Yz5rfa4RRc1rUFklLersG1ZUw
XJWtn9bDZFMk5shxaONYxY72AMnkk0gTaVlwYEsngMVd7ATbUm/aapnMuVooyMZPqCylOitF3NWN
BQhiJs7Un9XJfIir9WtM/ImAac1Pc/zD1h7XvIYUgz/HOnrXQcUURjj2MBdSN/+hZsJ+3dxH+P1R
k57GWn761pv7fenzVajdb/b9zV1i61/MUkHFwx8AAAD//w==</cx:binary>
              </cx:geoCache>
            </cx:geography>
          </cx:layoutPr>
        </cx:series>
      </cx:plotAreaRegion>
    </cx:plotArea>
    <cx:legend pos="r" align="min"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A262-4318-A268-3BB3378270CA}">
          <cx:dataId val="0"/>
          <cx:layoutPr>
            <cx:geography cultureLanguage="en-US" cultureRegion="IN" attribution="Powered by Bing">
              <cx:geoCache provider="{E9337A44-BEBE-4D9F-B70C-5C5E7DAFC167}">
                <cx:binary>1HvZct24ku2vVPj5UoWBGNjR1REX3LNmlzzVC0OWZRAEAQ7g/PU35aFK2sdDHXVH33McFWVrcxNI
ZCIzV65M/efd9B935f1t+8vkSh/+42767UXedfV//PpruMvv3W04ceaurUL1sTu5q9yv1ceP5u7+
1w/t7Wi8/pUgHP96l9+23f304r/+E1bT99VZdXfbmcpf9/ft/PI+9GUXfvDsm49+uf3gjF+Z0LXm
rsO/vVjdl7l58cu970w338z1/W8vnnzlxS+/Hi/0D5v+UoJcXf8B3iXyhMeUJohz9OkPfvFLWXn9
5bEQJxizWEiGk09/+NetL24dvP5TaT7JcvvhQ3sfApzl099/vvZEcPj07MUvd1XvuwdtaVDcby/2
/oO5ffGLCVX6+UFaPUi9v/h0zF+f6vm//vPoAzj40SePTHGspZ89+gdLbPvitr3tvirkf8AW5IQn
hGMRk2/aAp+wRCAOBvmmLf6GPN+2xp8vHtlje/iXtse3r8pjx3jyjX/WMcgJZUQKlNDP2k6eOkZy
QjmNMUrYZ1uRr/fgs2N8ubjfl+bbpvjy2hPB/7W94PS29bfdrQUvfXzYJ1fpn1Q9jk8ERjGJv+MH
/ARzkWAGYevTH/p168+q/1sSfVv9j159coDfXpz+339pX3giLWSJm1tnyl8ubj/0X3Xz3w9PGJ8g
zDFCUj51BXkSI4EIYuLrZp8N8feE+LYlHr/75HBwNgj+/0YOcn4LsOA25F37P+kiyUnMCJKUJd9M
FeAiSCaUxF9iF3tqmb8p07dN8+TlI9uc7/6tbPPmPnS/qHuvb8uvCvrv+wmhJ5IxjjiS37KNFCeJ
IIgiHn/d87O7/E1hvm2UJy8fGeWN+rcyys19eQsW8f+T7iJOwBacJfgodCUnCCUyTtgXR4HHn7PY
lwj2d0T5tkEeneLIHDfb/11zfB8C/1kYrCCDrz9VFI9Q8I+ffjo1FDlHr/4IBHzW7P7Dby9Egign
6BEueFjmieq31Z/2f/LG/W3oYIH4hCScoQcszAEMcEBnIzgzPKEnnNGYCExiRGhMwaS+arv8txeY
nUgc8yTBgiQC4BsAh1D1nx7FJ1LC9UAIMB0sBynu6wGvqnLWlf9TG19+/sX37qoyvgu/vYCiqP78
rU+ixg+CIU4e7hUXmCIMz+9uX0KhCF/G/4eIcfCsHMd1oXWlpjFfNlnRkRTjvFKRKyYA3n9Wcd/Y
D6L5N/aDDRmLEegDlPF4v1LTYHmJxvUSh0Itsf44LHWh5jGaIDT8aCdCwUjHezGJREKSmDLBEKj3
8V49Z4TSPB/XBCObasdYnTY6x/uCkPrcZno47xdabEvS+ZVu2uQDL6vhKvjJ7l0S9041kcUHNI91
pGwfYqtsots3cVmIURnJ2QXnGh96RML7eVxYlgYsMq6KSeZauaWchBppdR9lPVVcWnzjZNsNGypM
g0+7uEVXpiRBp8Es2aorRHzf8bxaBzkWQypD2X/spyi/19xkK+sFXVVZuVwlDeFUdc2st83QF6nt
u+G64Et02qAEDbsm7q1XNk9AlF5k2Rsp0WIUyZtFKKNLoZWWs4hVpCOxrRfaVsqVRdSkfTLqSYW4
JZWiYmg/uiJqDyLwvdBwH/DQk3Uk/Jmf+Y1nxtYrW9DssOhoOTWE+atpKs+mnHTrOENDqk39NnJ5
kUpErot48VvPxNk89a0yCclVU7dNSpOoPZvzMk9R3w9phnhQJU7KfBVx6ZWxzK5xNNlDNIe3JukL
5abYrubGVIqLSKppEBedL4pNGZI0z22dUjx1axYl6yHz89Zqco1bowKJXs7NsGJYBMXxlG+lYPGq
dMmeNHhIbU1h+7YtFML6oy9MolhfwD/yWQk0VrtQdkk6lMKrKg9oxWPYnHCHVoNE12OPg+qrFlwH
MoYm9tx5bVeE6/djBlcdh1KuYh9tzYiuK9uu5INGLc2TVRbnv3e40CmayAfWZ2fYin1TFWVaYrdF
9SSVGXWdkkCvM2qntHL4Q8HdhlrUpK7vthQVHxHhdm2z9i2DH4ZMXlBafLSJOXOdPuja4tQOWaOG
vPldt3wbsaDkPJzmmd12NDrLy9as62SGezdJsqgmaxp9VtB4RKsizsJl07ELE1Vv/VDU6UjjSdGx
PEXJdM/7uljZqeUb68B47SQnlejEq6Ebk3VPjVWL9BRs3hSqj+UFmXN9QbPpfZ6FN5MmfM3IGEAZ
1qQ8i24yqs/mQqB0oXGmqihkKRHVaraZVxPXpzqz1Za35K1FCRwgkwplsF05mvcZi7eFjzpVcirS
TlQqrqshdQi25iOJ9qHqhlUb2JiCYa9zNydpVo2zisoyqMyBo9qGLDddFAaVBXEzIjipF+5s8GCH
GNXvE11V60+x6ks6+xIWP4flu6qeW6PzL/zanz/+103l4L9PLNBfHz7Qc3/9dP6V1/vht7b31QMk
CMdfepDmz7VAmC/SPaSzJz/8Q3b9ml6O8udnmvA7D/9ecoUaTVIC1fGj0P4P6fURPPkrLT9683Oa
lfiEEoh7CaQ0SgG0Qib7kmbFCYH4H0sCSRMzTiAnfU2zyUnyUKADqAICRSIJ6fFrmoUMDCVLksRS
SooY5/9MmoUV/yEZMYoh7wkcJxKS/lHiM1aaQItRbwLqXnJcmJ3rJpJWmvWbJHLjfSFnryKABLu+
cnMqpjJshpzTHV8c3SRV4dF64DEqIDqO7DrwsdvgJfP7rq2cyks7XYhM83MqtdhHWVJtOpmxDy3J
qg1kokLAknX3PpgMhfMCAV8Enmr4W85w/rqrfThvqrZqVz3pTKbaHslTMS1yb8axm9SkWVLuigI1
yuqxTfs+jgbF/HiXmaVdz16eSjsObzlxQ8qqGiIIqMMsaoBEs2u5NJsmWmqbujZu92OoilfeibhO
fcPHRZFySloVxTLyqU+0u7RTHFdpEePar/IoYed9Jo3fTkiwV75Fw7sEyWVWkzDdvk6K7AZ1ZioV
QdbOyjQ8v5htO1aqjyBgqC6n5rIry+F1+5C21rY16HRCC4Socb7AMx52BofxrkLO/RHRMjQqlCFc
dhbS72r05ZDOJWavMzTSs47S6Ca3Ar2NKm9zBYFm2ENiGa+HTPt1S7X+IGfACKnm04PgJd3UFmTv
c69YJdtd1ZPqDJWmyxWY2b+HAMr2IUdxqwaDCAgpE6EQzautRQW+JC7JfGrFPK+yqtClkhHtUs24
2RIuK69m3O7jPJOrIYyHSgS0Jj2JCqXH/GU/mUiNhR6wmprFn7mIFVlq+mW81XlTHMZZjOdwofoi
A4xSR1vuhngNKEGs8jZZDVOoVhbhYZUsLd+JyJnXNQTR1TJFzSmOqvJlFAmXOjk1lyKRelu5ak6j
bqSXeWLRupSF3vHeoVOwaLYnUWg2brHoj2ZZlkMe6+yqor44nwu4qG01ived9dMG0SnsbUXynfPy
pmnGdEzaKs2KPr+ydhpTkrT1q5pW2Ub3Mr41uJ9PDWrjVAOe2XBeAoJpwxuE6ncuN7PCYhoUmOl1
SIZeK993Pl6LhJnf3TTu2qm4qglO+5wdeL3RYhmV9eWo+kkCDuzrfsd8V9cpIsQKVQdtbsAPxHnA
jr9MLON+h7qpOJR5lL0NAsmbuCsqu6oopnILXzJG1RN1Wpm2nH8nDWp2Fu7UBQL1BTV1XaaITAwg
Twpw01U8fu0LGV8wJ+kOt00p1OyqTGViNB/RUNabdnS+U/OUhfeodPrBKWVyIzyu06IzECg0R+2o
4J7MV3ls8uu4sXwligxhRRapr+qp0WQ1d9q8nKScIa3PuVvThA/valPUF8bE42FGnl1YTU0LWHZY
YKWyWZVDj18mpBE7uTQ0UVnNhhuZTORV78S44+M0v09K427mjlTtjvAifg/323zM+UCpgh5OI5Wf
SX6LszIu02aSg1dZLsRlETd+PSNHmKKFo83GVkWzHXXTeeVYlm9rQLeXOQDPm8ERfchaRn63LtCz
NmoICOk8v8pNjx2ArwavUdvpeNujXl8uY4Gvh1bzbTGa7qzLa3dXwBUGq2aUvA5V6M5KG+g6w0uz
k5SbU1yU8sJ7t+SqbGfvlKAZOuVZjXdJM+pThofiDEtrAU0xhmfVRhjfRIyPYS14Ga3Bf8WFsJ27
lq1GL2MykVrVmNP8UC+jeKVLh2jaA2i4G5dqSZFDIRWoLpq0ZU3Ke3kompmBzxdV06lkGtp1FlV2
a9zYhLU1Mj9QVOa7MfEXqGi7SOGIRauaToXKkw7vJondNS+6MWXguOuAnNm28D+Fx8X/HgY6qy6Y
kGKTXA6F0ed2cvLO0sScj4C0NphUy6GBuuVUc0d2omPovV0aez4MbEoLn3Xb3DFxGrIZbEg0P8uS
xq7KvuhTiEX+1M9zsaQV68e1cO49IOFqXeKo3dHY8zdR3my47N8UvKy34Pr5Hlu+zhsCBUBhhw9x
Ze6LUIs1D9Gc5iU26VBFRpW0OZgobrasZ/HeY3NJolisWMajaxx5sZsX7fc6yg5It4yrik9o3ZXR
/HauvclVhnV7TTLoOK60jup1G5PV4subxYlp49ggN1Vevy3RTPZl3eEVb837IhrG8kCgpKeqTnq7
GnU8Jgr1y7Tpsnh4iYe4OJ+GqN5IW3cXLSGn0LD8o5/qXexdrXxYrApT6FM3T/hCVuQMx90ioaKA
Gk3xNsmtGpMqXlWiL04J9VKqUC9zriaWlVuTI/hnX8Vu29Di0NoM6r+Mzc28WnKE4hWW3eyUqcZ6
N7TlrZtLd+Al79/RsobyKMtnc17M3bD1OW5Q6mnUvGy6st0uzShL1cYScMIw9acu19ZtiGv1KswL
VUsf0XsoJQazhhQPNVlcdzmAmUiXaT32ZkijOkAeMCRUk5pJ8CFdyoLf+Sr0l4J346WxeVC1hzpI
jJDEkqSf05KS86qSl3AsbiFUzcUNDaihaZZ0Y5XibJxeZ1n+IYHr/m5hfAWw55zlst/Y0BS3EBCb
l4YTo6qOOZq2U5jgUFWjUAFlXzGY5V2kG7TWopwOBW2TUaFyaVI0djOUnu14LqRl7wOx2R8aNlYa
d9Ma+GqunIvEpqV1+6oSg99pXq7LIMKBt66/qotMv7bM1Vu3jOwjRaJ8Ow5xvSFiYV7J0juzKzvd
7kafsFoNdVtLOPyAFItjfwU5YNz2pR0uJJPLgQAge20WYQ9TiKZDQ6Re0aZB+9qxDhKSYGfL4CuS
SmLkPm9BVyzpljvSMLSTugsrypZsE1wz6JXDbGtztl06+2rmdlEdMyvBxiatabsiga2gnM2gzvNN
r6Tr1/3Y3kOhB3iugqtoJ74miEPl1PiV60a3inm04mS+jmhDD1U1xntbz2xnXFbdMohnaYgBUrDg
oISUHm1qGDWADEM6VbRSXgMzgc901owbV4fs3I+4UGbOyKYufb0asjZlhpILPfSnhMwfMQ65UQOk
qSllgPY/9GVYxwubrSIAtS4SW8Ubr8fmtFt0vo2WSqEwQlZJWjzcdFnbvZrjvkwnMw2bEU8XSOet
EkkIK5TzYpUNk1dh1BSq5YirOa6TDYVQlqeUTu/gpeHMOLG8b+UyrbMCFZs41/4M1Za+AX3LWsW8
9zatayM2dW7jNdMo2nkT5weRCXFdD5DLs75Gp3mT2UvCRHkxZ0t2DRyhPHPI27MhjyxReW3ZFXho
Mqm6ztszqEPctdeE3S9o0mncZf6STgRfsJ7wQ9+W7D7Js+Sc98kDJZCb32nbNKcM+PtRFY037yLs
unMIm+W+Wey4Co240/2Q7IQvypWOi/6ii7F8F8ddt/aF915hSPSAi2hRn9dz4wD5G2r2ldMhqJzV
M0SPzii9TB74larfJa3g+4iJ+WVWFGFZ2bY/VEZkKx8l/kAnO78eafCXk8vfVlxkVyir7bsRyWZH
RW2giKdb2gIGn3XRbITheO3aSa/mHFcXrSgg09WZXteAm9YeQXDuE26A87HsDYJSBtQs3WXTQ8AD
/Fi9zb1hfyS+tAesPVzgNsRnEne1UIvu+1oFKMWvNSkj4El4vyb1Mt1lc2lTbiDvZZLAznMYNkFA
Hp+E0KeVaF7xbtBvZJQBynQcrXoARG2r94u2W5d09R678nYagCuEjDohRQHyrhDrgcJA0QqhuV5B
mdUpWY93xoz9jU1qdyhaoBmGYhj2lGF8EFNfrkmwaDU5m+3GXKYJqiFANmWxF+WHcUDJBy1rui8q
WAogLFJoLNu7Ocrn03LgOqjYlHZDxiraZm5Ea1lB1eeXEdQXj/FlxOS8XXLbXo2992nOq/o9ggtz
0Vs8AAnaAYlJCqAEcQA40STRrhNzd+4SlKeTNvPvWWYC4IWivLU4WeAodbl2fsnvoBgj+4G1eFVk
UayGpGteRdEyvrTDImrVeIrfeVFFfziR9JvGoHrHpjmxQAGVdZIuk4Oip5P4qpWuS7MhrIK0lUuH
JLEbWc+zSJOx4gtUcoNJ6wD2YiKxb2c/jXCzRr6tIj8qn/XnNMpT3kBKqRhRvOdVOhj5MQHAP3TJ
2eQTWL/u0mnwyyoxJAV4ig6Wt2jthLtvxmk36uRG9hKWwYO5MpASlS39vAtS6M0ct81+oFW3t3DK
dw2qhttlwO06AaL3dcRIclbNVXYXAWYq1dz7Ph1almzBPPE6cYM4p0tZn/Eudu+EzHrARoztKwSQ
tqdRBFlwnqI1LolBu2RhU6s8kJ1njfcQ4hvjki2hOVP5WDUGoH4lN1lbyDuUzDwGforNai4z8UfC
Iy5UhKR9XQNEeiDykotuXMq3zTSY7ZxnZscJnW65zx3kDuvxVdnPCGKZX651FA0Hy5bpOgoBiDg2
2iFNoDW4zqxY9gswFS8Tl7S3es4MEG9j/baG/AYhPtC9mGO35nZsz2VHUK+arubrvsNoRbKmuu5Y
xyNALEN7jxY93ESej0KFIQ7nnFV8PfYzBR50JvJdGWizFYF8NNYnhzjPM63m2dArqTFKx5Ka1xA4
urRFoc9XdcT680ks5NBmhGyieXZve2YBuS6ivPLg7irvyuoiawd2UbbtUqolLPOqyv3oVOxIuLKi
qy8BXBe1orqad21BINQ0kERf6gr6AcrkrNzX3MmtxUv7e1EDhlUA4dzOQdNhlUAVc0Y01mkDk3qv
OIoqVVEh0jlY/ToupNlmbUalSpah2I+eE8XCuBwcwLND0yzj22Ghw00CKPS6JyNkk6Wgrx2ZzCEZ
cPFeix5yUTYuF2xhNTCTNdJnbVzgcx+GRuXYc8WKku1RPUyNWpqFwHBawdntEEd5rRJL0a3j2DZA
HizTm9gOAriWIglAPHQxatY6qfrTaAl4TSsJ1W6TRctmFrY+hzxev8unrH49iIatlzqGwkB2Qc2S
VJdUxvIVF1YcZMsmhfuBrcaIuAvWzACxii7YRonCDG+x6PgKKOn8Mosnsm0DhiYEGS1/t+AsAtCA
kOpqWZ5GlgHqNAVQtlEfN2vRZMVVEbgG08rbegQGJC+i7QKk1QbNUIPDOXBKGq4GQoE2lhBd7RjZ
kPoH7gE7sBLuErxqo9K9oiVqDpUN/bD2S8ffRzHUF9NSAFxKLOdGiahxHXBWdYZSo30KpwZ4G/Hp
d5MV5bmJGQhLJp+yKabmc6/qf43//f9H7d49HoL82pF+aC1i/ENS98nQ2Z/f/0zlJuIkxlhQBs3R
px1TLk9wAvOdEsEwifxM8n6hcqk4QUJA3xymGRIKzC2MLHyhcvmJ4CimiRRExBgYVPLPULmwzqOu
YkRwLGLB2CeC91GnNGRTVlmT8F2OVwm7DMNPOqPfW/fh80frJsQMPECncN0xaIKpZZnnNznh0+e5
0s9jpV86DI8bvd9bHqzyePlCRHYeJy/Wedu07cuRL0jf6GmpPj7i5L+x/tNG8l9qgeHCx+snQOXJ
3mZ8nRAWlusaA3xQOS0YVigGFkfFtOmyzY83+95hjrrVAWwPFLrn6ylQCTQSorpV1czlHz9eH6bB
vmnjh47yI1uIpAHiBVLrusd1fI7xGLvfR1QgfjbLzk/bSCy8VW5u6pc/3vA7B5JHXYFaQuQWDxsO
ZSKmQ5X3WZ/GkN7M5w7Td83/sNBfff4/zfMwD/f4RNIsI+p6ytajDWI88JlmJK1tIPkZs3lBznFv
e5s2ofEzUM5ljJsN8vnQ7n58QPy0Gf+XAA+qfqTSWrhgWZjZutd6aKB+lVtB8UcoppoREI4eB6f6
WURn1aixXQMzXkHXN9KSOJjB/tFAwPd0/HBzH0lQ6tkNJRtBBZKwFMjhj1ALm5+c73uLP7R9Hi1e
gaeOcu7YGqoI8RYBFlQZ9OQvnyf6w66PVgfq3PBAW7a21Jh7BDP/Zz4ytk+ft/xRbKiikdVNzti6
7MTwGo9NrKZsEc+LPPIoMrTlWNQ1FMzrroqWZY2maGhXvK4q8Uzxj6IBmTR+6LNANKhioMFmzqdY
NQ240up5+jkKB6SYI2CvoCXiq1nwKyBJ8+6167roJ7HzO5dHHHl/kKhH48Tkdqmwg4I4jlo1GRva
nyjoae/xT98TR86fVDYuezJnUC3JxW3GFtfDuhxnbFaNyePkmdscuTiFto6EERmx7TpoHu48r6BV
uXhcTuvadFBhPcsa4siPm2poMgpl1rYmdrmx7ZxfesGTmx+v/j1dHTnyaIEmHwF2bEk0GSD6WkHP
dDxXzRvLJMxc/HiX71n84fNHDp1LGMSQopbbtoznfeQWdJlo3Jaf8eR3o/33lqdPl68yIAlAOXzb
i4ZMwIFO8Tu+VPX6edIfeXQ/iEpI+PWc7VCCBbpSu3XcR1DwP2/5I3/uDfVzORdyG4fBgg1mOUUq
oBm6yM/b4MifbRKxJplA+wl2jd/XGPrX67aAXt/VszY4nm4TZKYByne+hQrLvBYyhKvJ6Gb+ifwP
N/0byZwf+bNLhpEVvRZbBx3q7KVwrulf02ZJ0KGL8kRcw3Qg5fvnneXIq8Xcwq9iwSD9tqZxZ3bd
QqdE5RZ4puf5MwxYPPGFycwN70grtjboOt4HRwapij5uf5abH9TyLXUduTQQjBq5Ee5Tk811uyo0
lOZXLloGftBd5uwaRo9m/7aEBusfPRDK/iea+x7meZiefuzl5aQzUS0jxN1SlvUhhwEmAcjeJgDr
ZDcWcad8VyxDanJeu42dFi1gnAxGBX8fUMf7Zyr4KBrM0AmD5kaUbZ2I+hU1o4CJt5L+5DLiB7f8
lnrJ01OyoZtMQ5oEps+WtlpDOT/A1F22LOWuTqiYL3Vw1cc6ike3i2EAjF1MMLjjz4mQsngrLWHs
J6J8J+zxo8AhfcHqajTxthZZAC5gSe7raYJ+x/M84ShslC3leIYBmm0b1eNWdzgulYYxmw/PWp4d
oYAew3RMUUCPWsOk3zsGqfQC2mrueTGbHcWMhmpfwIRBsoUpX1SkPZZuUb1p5/CTW/YdL3v4zZrH
lz0YINDI1MptN48Z2cu4bdH7qcbgcTnJUaW86WsHXCGv9V3tlkCeZxZ2FD8ojOXAJYJRRi5hbg94
cxIcMLBx9Mx0wY7ixxIvtul5K9Z9w/Caz8AVLbyKVs8z+1GQ4FmCfNFMyzb0utsuXsCAYlsXP4lB
33EJduT78LtReTRBatgCpelSAuOlq2yuyDMv1ZHrQ9VTSWyqZUugblQox2+8jn+GWr8n+pE3Y177
eCr1stUP3Yh+9giwQJPj4pn35sid86LvoA86L9soexj9HSa7Ao423j7LrPGRN9N6YHVnYfUuIzHM
ycJsT3Aws/C81Y+8WXqY2wFmEmTvSJ5a2g+KW5jkft7qR65coKiFxnBYtg025SYkXqcDi5fNj1d/
cJtv5Iv4yF99xvJlwdG4HSN2D2WnHTZxZ2u/7UbBn3mCI5elA3TqC5uNWwqO+zLpqmKN48o+rxyP
j1y28wCFxoWP2ypmfC8T1q+K2T8z3MRHLos7V2ZyKfqtDmV8akonzuupfKboRx4LiTqzFtNuC3Pl
GYbRIgJTRvlk89WPjfsdp42PnJZlOthoAZoHZmumg+30/+Psy5rtRL23P5FVCoh6q3tvz5yc5GS8
sZJ0twOgiOL06f/P7novcvglnbe47YHNWbJgsXiG+cFWAKz4je6kLPqjwRLZbr4YW6/Te4rnZPkm
Nilv/NYNdbJWRO0y1gvZUBLaA0yA+Mue7f0fFv5vYnOl+fx8QsZdIAAyrpbzKJsop5Ml+Qjwi+fU
naSlumOk6tIFkQ++GIL6rs+2yu+zUidnhT5MEEz8/02dkREvWAv3nbqbrTEeRNMmWs7ZiqYxuY4+
+Qfm+jl+umuLcNGVnDD61mVNYVNhc85J5xl2J1sbFqcDiMYYnZG/x5bJS93Wnp0t6mQrAHgybWsM
nh1WlTIBNroRfPOrDa5I+Z8Ds800qeQulnM8V2u+RQvJ8ew1+x1R/7Kyfgq7ajTpBxrac78AXw2Q
yt+2OyK/qLso+ukwsx6a1Z6VaFjOWfwlWCbiObiTp2EVG7o3wYynx7A/TVv7bbLH5Dm4k6bjlG0d
KmF77ngGzHjXytwakniO7uRpQrugboMMU89s9AiAIX1bJbX0e6K6EiheLRjLSM8wcnlE0J3Jjx7U
t1MwB+nkt2aIk6pk3DJldb2UwBL04AFQHZd6JfMPr+ODOLkatRUxw6ZwslaTvMu6KTpNotvPfqOT
19GxptK03mNbzhn9GnXkeWL02W9oN1OnvVP7HszAfQZP2B6/7CTx7BVeKa4/f9SsBcgt6pMZWOgm
PQH3/jKIavD7oJFznvZiCkyWWlsG7dwW4EI8JEC8+y32K1H655njWXgF7CoNzr3c/mr36BOJ1b1X
wCMnS1Pw7ECPCPYSw05zfpCpAUJworXf1hs5ebqA7QPAoJlLEI/Cz2zGPgCI2hH5VRqRk6h2lCSU
1WBLNZjjNGzJ96bVlWfYnSQF/2ZMltbYMt7NXiilMXXxp5fX6yC/uBxcwQM/f9Os56zVgZpL8KOz
x3Sqo0cZVPqT32d1UpTMZDZQrcJybKomp2r9nKSt5yd1cvRgA+hHjbCliReaR+n2RY7pW795OzkK
EN+2thRjB930wuz+GAM25TV06GTosFZVPdN6PodVEBRBVz20R+jZH3CZ11GkdXIEJDjzMHuj9uRL
anbpt7WETooGDep0MyAmsumfh3q4VKrx28lDJzuZXnewjqLgPBzLjVnJPYv9TtDQSUygpWegL3G3
46p+SIet7E3l98waOmnZynlrrMWktfpwLLboko9+K8RJSZl1Rh8CH5E14rvZsuf04H77VOjkox0X
se0rn8t96qKXAyShsrN0OvlN3MlI2lfblb09l1MAKAHpxU1WZZ/9xnYyUsh2iqEIFZzjFtVtEPJv
LKN+Bxt0Pl5vgljY4yhDHMlNyzdABVlwAgpz8UocsFBfj55OCzB/8RKcR/7eDKcUXWyfmLDMycgG
NEI2Nvtc2hRgDqC/dR6N/MVvcCcnV7x37XtfTeeo0TerxNs+iC+z10qBBsbrkBhrQxFIDJ7K+C21
+kfLduMZFScvMxbv4Zhm09ko+jbG2JtdfMd2UjNa2wRchQhtY6hiPNi07u5GtnHPqDjZ2Uxskahn
sVDig+dH2H2QvPEqsFjm5OaWWbaKDJm/0X3uipBVfDgRVECt19bCMidB9apYhbeauayZ/hasyyc8
PnzwWoouWAvExdBwirhYW8en0Yo2pylJvOoINISctdgsCfrRGya+bW/tEN5ty+iZoamToZ1KQpY0
dCpTQR8lAIfnNEmIX8SvHPqfSzdbG2Au7TJDqUI+s0AWnWm8ihSWuvkZB/1eUzWVhMSkWFVkioh1
//h9TidBQTjpJtAPJqAZ+Jd62u7aJH7vN7STn5uZK5GSwJR7BFC1BKXk0qvOD4YBXYPXAR9iUMoA
8DYlnpCOU38MTwmd/oQxuP71/1uIs9RJUKtBSWmi1ZQDsDYyn6wJ7oMl3N/5RcZJzzWg2BWZxRdd
9r8mVHDblH73GtpFUwH0PTWaD1MpeP1u0/oWZH6/degCqaCmIngnGViSy9iclxWs6UD2P/zm7SRn
e0BdxWxiKrNGF4LtTyr9U9l5zZNffEwXMrUG6AcvOjEg6C6xzUHd6h5HrjfoARCQL/3m7yQpuCRb
L4bYlLKlX2XDPgVavPgN7aToBsSjBIfMIP+X6WaZTJSDYev3VMcSJ0tr0sStoQQTZ9EntQR9zgL9
0W/mTo4226iFCZupjAlI9OeD2p3lfSobcfL7ASdPQUmsQVq6Ene34LlV5KUd/e7iLHFyVLbxiAsz
hq727HkO2zcV5V7PUBA4e711yXSv1LjspqSVImWQkvk5qtfWC+nLXHwUSZYwXlqsxCqENshuxpIy
T3Qa406aqq0K5m1qTNkvGky8JbmA/+/XHQbr4XVcZsMgqJIh5Nge75ed3Mt488sh7qQnFL3AxB9r
U0Idps+TY7/PTOv3bsZcpFOGVQLRKmHKCGRIGo0PJpw95+1kp2nxOsHXYCwnnn5qI/Msxeh1iWPc
Sc5qY0rUujMlR2TyDCD0fNxV6rcfumikmXZj0A3ZiHebBiIORDzbIPvglfXcSc0wxD2rj8OxrFuq
unxFo+Jsw4D7BcaFInVdBlRatyNvsl0VqeX8nWzDw++LulCkpYt5BazdWB7ZVSZtYk84Sf1ez5kL
Q7JBnw7xNmC5DBkLBfbaXYDmlmaL8Orh4IX/dY4CCxxmNTjzZV03awKVAcB2qoqNfu8IzIUb7QLy
LUZVukwDsOeKZdXqH5slq+elMWav5x8pEkKsItClafbppGre5YhQfPFamS7gKEm2LQ2XUEPUgJMC
In6moLj95n6jOxk7SyDwJtrrcmJJPefRQcQ3sW997Tm+c5purQGrdUNshqYb8nZWHzYZ+Z15sZOz
kgwrlCQs4t6n+mafwumyyqG58YqMizdaKPRbtFx12VXx8SkcqvoGHgla+AWGObdSin0yJuAJl1lf
jdMlsSlleVwNfPT8AedYxWOcGHq9IPJ0Wm+NST80o/TrzTMXcpQIBX7obHSZsPl9W0/Pq5jf+8Xd
OVbral+plDUIy332tR/WKG8Y+xO29pqSv6jbXaDRiJZ5GliIi1CQvb8meFS4sUItnkvGOVnnMNig
6BIPJTI1yzmgL3mwB8nZLzBOqpo9wBu9xOjxsts8jvQddLT+kEr/lqC/CoyTpyPUOWINAjL49aKu
wOLuO2w2Sbtd9V2zWtwova/vrZrkLZ1owMu5acb4BRS3ZHyL/t9k3meJ4jcC75LDTSd6xvNEtmjG
19uYhisUabvRfFhHEtgi3MdefBuaBsqoHIUlOUVQCbHnRNvNnmSELlkBTcl5u7VjkHYlSbaG3UKh
bd2LKEQ34TMUTLv9EtFuSk402TDmCtW341KPGaRwQkkOe1GEbMdpWhTtv24JY9XbGXor3fcpisex
TA+SLaXZ8Pee9HzE5y5c4rToExJBw2JPantTR0OdPUArFbywEBTw95ARW0GK5uZWt5M5ynDI0v2y
Krmw02JYHZ+XZGVoYctmgVya1AoKKpBe2IsU4h8JtMdaE92vfdVlt5JGMysPRBvyUVQst8cRqCcD
HRt2YuGyHHkHivvxXkbdkPhVIczZMCHvarmwFBKfcTOg6xNAVAoaY17L00V6QVAU6h8jpKYarv6u
mHhfJa3fvF2c14KXmE0SzBsaruWUybsqjvyag9TZJeMFyJQIHaSSZBCLqQJIaWQyGjxj4lQ2Jqwp
F3i0K2vSdfkmxn94Z/yKPurskx3orUufhENpd6shSbG1NwOdld9WRp2apuFtaHvCp7I2gj0w1K9A
/tv5i99acTZKo+plWfQCFca0th9NOh5o5vfp7Bl2Z6eEXg/0aY9sKDM0lfOYdA/NUfsxzZgL8gqR
wjFL9VDug67UaQjXrtzGsPW85bgwr6hvoyOAalDJIay9naH3ZQ+IKMRiPHkF34V6zWpcq6CZhxIP
Vf+smt3FUI70u6KR9HUprCF4tYx7MpRNmAFHNk+Q4YQaWEf+8Zu7k65LPELXwxJdyjGDolYyjBRv
7CkhflgMRpyMXaGiFkEiCgUC3L4g8r1257ZtPQsEF++lk7XqjhpHON5oTAFEGS90sIalX3CcnF1D
UKXjth/AqpXyjkN6a875aLgfvp+5aK+pg+52NQzYhnub3DU9Db/iTrv7tYKJk7TJpsZDTahX0cra
bitW2TIJ58Rz0Tv1DaHSZu31dOpaBVn4daxzOyvlt+G4kK/IRJvdcE8ug72nf0Mv9vj7UBYKTF4f
1gV9QW0fktqd0CWsBpbgVmR9BGHNdY3/8Hb4G14dhMpepy24rVXFZdqXh4yoedGiXaAIm/REn6Ao
HLyAcPYUBJnsTqjiRFbUGS6jlyaI48Hv67v4MJCCeWg71J/rPkKwCwYJEKBQTa+l3zXaBYjxkB64
s1x3pmqOKujh1OCdQd5xDj0/knMeH6E1oNeSvqQ0agUcH7qV5Z1gi2eBFTnpzadDmZ7gB3YLNdbm
sJ+A3v/ht8Lo6wUgZ7XPmYWPgDaQl9xq+s8xx74TdzK7Ho9omkSiStS2F0nEHSHTH+4t17/9F9eW
fymUP2OigyCsVyiIlDNbpkIEDE8N6/HOLyhOuTxDub+OYONRVtakZ9sQWE/EredR6eLE1gTmhz2+
aNmaLfiuupX+MAGOG6+5u0CxqWP9wHq4HKDWekqW416O9R+0XH4TcxcnVm94Z+Rm6MtpI81dJE2a
w8hx9TvEXKgY9KvadBFUlVSkQ513aTreNYntG780dQFjLNsGyvtQlUncd8WYpTeCQV3YL+pOihrd
13WVQU49Y836MBnFimTuluf/Hv26k/xisYdOkmar2Jc1wvkuDzai5A+nOjvLMIJrAsetrversVwM
WbpD8otDtq0MLZ01tCrn7ppaYTac/vvv+N0Ccs5iFbTTuEB3FsBO8t7O4bs6qjyXvZOyULKY09Bg
7uiuxafWoJV/2Kj3+rxwHny9S0I1PA0EUIHnKDHVu2UP9Pu+if3YTFDVej26bPvoangjr3tw+qwV
jcu5jVOvoFMXS6bRXQgr1Us8hqMrMYzpc8Dq1jMwTtVs97nf7d5KIAQg4VSAfDh+OWQ2LJ7jO2cr
BGkqaE0aCZG65Dt6R48qaT75LEa4XLyOOltCvFaDIQjS6lBBoxBCdn+vdPST3qCZk7MQbe77prqG
XacVGo5Teqt4bL2WO4X+2iuE0EA6ux0Gk6/qBm2nCArokFTxO6GoCynL+JHs8YT+W7TO0X7qW+AR
IEved4tX8wWqF6+nny5rpVHZyjJq+A7fnjB8O4DP987ry7qosp236HCtY3CCjuQ23HXw63qCP1Vs
/zD7fzst/7sfUxdYBk9lsnFusXS4jaGdG0W9vWnFMpoLLmKWXKClx6fTGMtteAh23AoedNKN6guJ
KLtYTo7bhAV7DBVL+Fih6RgI8Ub1EH4u1DjubQEV5ur4PlR7ay+9xplb2LjbflDF2P2iu/lubxuY
XlXQzswOaGA0OdTn2fHSROC3PIurTsULZH31dMKFjR34t2YtmhDIz6dON8Fxwn89tY8U8r/LD7+g
Oxd04BpHciUkn+sq6p6WTGQPpCW13wFLXUjcAC3LAd1RUZIt/JuT8TmL6rd+M3f2GNw1dxXwVZT0
AM5WEnZLhulPQhrXjfBXS8XZZawNVH1MmyhHWFXQWzMdcj1lO1APpxU3hPqWZ1w2Xt016PW9Tqto
hCUdg5J8GeiAn5lY5eXQsv7gFydnz2n2yuKOSEW5DAxOAtXxae5gKfHfg1+D/as4OaVBFNathfC1
KLm07XugqtkbOL5t3za4Sfyhs/m7n3A2HRhaJTXRozhPG4VrRzOPBgrAi0GzHZY8YLT94VL9m0/u
ouYAT4BAOJf1GT7rQlxsvEVAhwXy3Kojhd784vnsRF0QXd2gd1IZiaD1JADQjX/CRuR5gCVOQgcQ
HEEjoBdlhOe4ma6XmUZ/2KB/8yVcEB0MP0R6gIN7EvWYzLeZnOLLkGZ49+f1IkMvdAFNrr/+0xUx
xtiwiEkCyHRASBBc9/pzNiZ+1FaaOIk97dnYtrvpyiSJ5wsw1ynMViK/ywp1gXTwLMJV3EZN2bKU
XfSyqxOcbLzucTRxEjnkOpIykdUJ6tx38GnJ2cA9Y+6k8Q7fFDgZYejjYGeYllxUS7zuh9TF0O1Q
XWunTMC2sYUFSAxrRu7XxaMuhg6wwqsQLhwhdbeOd900zWUQ0/f/vbNdF8QvdjYXQlfFSbPsNMBi
j+rprLVh+Z5JdvEb3cnSMBOmisOgLZN20vdAvX4aISnuOfh1h/spg2qe1MFCbFvKnciLzWY4Mo3S
D4pKXRhdALuWmMHgomy7bjzpJn0IEjOd/eLipOcGWzU70SE7zYq124WQ9YM2Qvg1FeEm+zoyzQB9
fsn67NQv45OQQ9mZwe8Qd6F0e7NttapRSMnZtjDV6mHaKOM/7Ly/W4xOfi5A5x9g+CGJpmXIgRor
oMXuuSW6UDqYo8D3YdYtWEuw2+trDdOYyvSZHyANgtSvg56pHZwLEWcgWg0HgSNMZe6HTbR+PEjq
ouks76s+gffWSa0H3myfgQL4Q3Xzb6v2F5uAi6Vj/IggTgVvlWgP6HIftioGwaiGcCisOfF80MYZ
HIGScVHxmaO7thbjLOIFcpya75fRZlCWP3RUk28qiclSViltE68OPHVReDCdi6C7MV+vSzD2um1p
mNpzM4mpP3nlogvD69t25mnUJKfNNBwb1N5ZKM/HPKJ+dw8Xh2dmYY+l0rDdgcHUWaVsPemMeXWa
qQvDQ8kWU03h6RNddb9WyPEXiiVe+GoaO0exTuDaUM0YfLHQbpYTG/MB/sV/WHa/yfbYyXbWWLDh
YaBxJh0c7KiASxA6Et/9vqpTTg8C7p8hrebzQhoF/8QABK6NhX5HjwvCg5uyCBk8Gc8DkDU53H3r
J5nQ+aPX3F0MHlu1hpfmOJ/hsDMVTBz1ud1jv8Aw50huzRoNeIidz9CoJLDN2MR3Hh6JXxnkAvCO
uFnH2S7TGX4msoByNRRhWOWnekKZUzPLbKYHTePp3CabucTVDH3xQPi9sVMXhEdXAusWMU9nuqoG
iKv5BfTqP7mU/2axu2Jfdh0hmZXs03lPogO2QcIUifCsVZiTp7GwHFZdiPqhINcCp7N/QtP4cQnh
Qf/6XIOJqxphaWrPNdgzp2xtYNxNQOX0W+tOnh6gQVTtgsIq0eT7pOh71RA/ejV1oV+NQkt50Mye
YRMa5psm1bmqAKP775n/5proor8kXFaIGGh64ZWMl7eNVa267JxIc2FG4xT875/5zcJxkWDVQisW
dfgjYGgcnBYS10W/WT8kGHX1vnRTJfPMMXpd9+0pBQysyIb9L7+pO+kqOmwHwDOas970XrRq7E6T
qvwOPhcJlmkWziqOzXkRdrmoJiU5BIwPv5Pvalj9891iV5Tzw6zmPDeHvMAv68MRdbHnJ3XS9WgU
Owb0es46bZJCwau5ACTVD/aPV/3XU++TPZnhPKXPgQpM0R26z6ne/ZSbwIB+PXrFmDRRx/W5ncem
OGIlCxhd+6kKUhcDZqMdLWdTp5eu64+XI9Tbxy7s/6Rb/5tUclFgFV3XyAKsfIaRGfgo14JDk+hP
PcLfje4crHC4Qbt6z7ILC9A6X4Ifg+xfvBLJRX+JiEQV/DOSC3S+KpkvsLr7ODfb9NlveCdPIznQ
4QhNdom16gHA7TbePPBI9qlfrrpyX3pKLap42C5mU5R3GbmToWcl5oK/IMQ1zjvB0Irh+LviIXo/
QCLM5l8vdZhBtDAoHrPLcZU+EmvECtaka+4XdCdNO1j4zsd+NX6FGWBv9NuQ+6kJUhf2FcYAFVGl
2IkD/tD1wQPr22evWf8P5AsyQo2hPTsROHxHJdMSvOtmVfaD3/jOY3Ovo7GTdkgubIg2SKizid1d
qXp/0hO8JuMvbrounqsNhGbpWnE4kwbTzVwti3qakrCuz+CpJtVtDXfX5nE+qv+Py/W/V9Vf/ajT
qEp2UvVLN0pcW7e134pItpLosxDIOnlpqk3IfBwU7Gryno4427duN31yO0jNG3XBxboTKpeHWPbb
ptqD6hulK2B3fQhIq4Br9n6ssHYMjR4fBI9S/bhM1Rrx2w0GyaPIYYVXw0A5hMMzrXMzJxqF0AD7
ZQ1T2XGov2nTKBvlTCStuqWHgNzzaceFPoFZJnzuTSHgF7q9h4TcurQwE4TFD2S+93ab4Cea2QDW
hNkOaXhxE2nBIX2v0LOcVQ5egbSY4JQM/QdNFC4yXdKl/yit8I+NHdly4oD70twiQqJYlpW05bHb
Da5LIoSt6LcBTdvE5puJwmjN45TXzRc4r4rsh6otjH5A5DwGo3KofXVwegZI70Yf8FrOe4hGTcW6
tlMk4D88HNX5wJMNOQek2qaiSrHSsmLh6x7DOHw54vA+SheeXdrYHgq8sBEGgXAJ6IuE64U/dqFt
01PY0pUWTcJHVGGpSk+pggBuDl91PvbAb3ZDU59m2P9VSYEOyVYPmNnYmyRPCU/AG4E5Y8USlI3Y
S7iyd/haA9xvTYrKLs8iWNedrOrJ13FW/LTux5b8sO2x04s2QyyeDkNS/hFm2UnyROeK0oejgjly
fZIHOCrskq02giLCwRMrH8HQSPG9NHw8Mbk6PLLaXkKoGqMaU+FwiJud0239PqaqHepiWNAMvk3A
QMpeoi3ZJrg19wxOYnUaXGUgpZX9GoDFcgC0BQUdmBXa845vOQy3JEYjjdxy0adNLrjILlw0fQEP
7lUZdFP2YILD5LAv031oJ3FeDfaoJz7UtnvZNlL3KZbDQOylozEcnYe6YQQqsc0uT7jXNOmXdKb9
cJ9tBy5+TRxaGGeuekYzP8/SOCGooOaZUlpkMaXdcyRSwy8QWBHbfU/WCF3tcIa22oFnZli9grsV
7hOfgeTkEFkLpf0Ox1hwZsySMP0+iVWUnhq4bXbfcfdJJZJGsWE5TV08TE/ChjV/ATxrVJduT0AT
yoZwiO+OOCDiIWpWcfzV9nKwYMyYYGBPI5K2Ofe6gbW4VlE3fmoClYYE25uoeZwnimX6KZxnEX2H
sXKVwqi2zlRdriss1+9C07Lhc7fyPS6geR+CjV6vNMog7Rxz+aOa11rUuRhF+j2mfNSfwC4/4G7a
wuIVnyEa9keg+qYU//MQsB9DZ5bjVhG97y/igEVxoRtk0o+OYZnf1IIcT3MW1peQjGn3JjU24ecw
bXXzbhTNdrxdQfAgAV6ioRuQnq5KxPx2Wue+/0fg5aa57/hI93IYOlmVI8kic29HWIsWHaOMfEk5
Ydlf0SqqJ1DIgzs8Ix0/QG1RebfG9amGQFBw2tojXe/gIbEcNxAPop9l1rLspCWYjs/J3sj+Kaqr
Nrpdh9bu52Bsuu0m203Iy4RvIvwU8kpU75oxq3Wh9zmAJmIXZhNINIrDyG85ptg8TuExh7dUcy0/
wLijGt7YOEuaS9iIITnNW7dg71zj1DRwpOwj8zhmC/8hoQnQFxVahuubZgsNtpJm2NYzzE1neKeH
eK1a7kUHgeNLVVsNek2QLPVLk04Zu1Vaa57PVWD496bJOl3U/STmLk/7qAphdMTodjtJNc2neSXw
Fp6nnkR5L49Vf6Fzhhmc4rCOIGe4YRZtUE8m77Zg6s/9VZInh6DdIZ7gctvApVqb9SsJ95XDXq3u
ocsJKwj+iHKp/rtCCidFJxuiCq7WePi0j/BnhMCRUpA8y6k4jvZ2ncGSfdnhT2eqvBnnBEba0aHX
YYDjJ47pNUfHe5l+rHah8UdYcBgcCAJqNdk7iVGuH1LP1pxh4oiXznO/EhXn4H72cSmzKBPnZamp
3HN4sKfH/bpNNboWG2ysspuw2lEjgsnWNLcTXNaC/DBtG7znsTDk1MCROzhN4RJlp2Q/ju6jCQ/a
3SzzsWalVUNQncaVVPsDhVnO2zCauvY9OkdkhyWxlHN2gWp8Pd9lAjeYpx0tsfTCRIvzbq6qeATO
mzXbg6rDThTDYaK5YNokAXgLZqpaWMpjBUXv5lAokDF6mGu/bbcwITcDnoy7pwFKd+2YLzuDgQ50
xfNxNVl0G9Fsmt/E0xj030i7pfKBSzphjcGiVzZ/UZkeWAkKkm3TeajTdrngL9u6c6wEg9msWJrq
bqrbjt6CRMvlozUEBl9nbEeSn+DLRKu/D0glQ9N8arr4Zhrauga2GQwsrJEUOkp3TTfv+kZ3igIz
TIAhDs+ThushrJP3nrzHb6Yfl6iZt68SovHgpGekGVgxQn6xLgLsT1UBg9jtfUf4TG/STIPrEvc9
wKpqMWlQ7NrOsJQzw7qBQLIkUYEHhbS5urrG8Ztt3ev2JugJw8tRW4nAvih1DP0doLvNgaqoh1c3
To2pF9BIDcPo+fpSQ8OCNmNyPB5hxtSEnfjYq9u0w6eH0CyHu9nDig15fAP3i8nchnOTzTfbzLP4
enJvDTQBaoQR7uZzhiwPoVdXHxYOvu26788022SWwzUt5ZeEKexvuaBrZ96Ec5SO3w4zadblcl62
+HZnNNyeGFZ/87mbNljQ4I+kQ/VGoB22vksFgnh3kM5sp57aeL7B+R/oGsElajmvR5KsNYqneTjw
MU29XJZVBOpDEu2zersgZsvd2AEW+qZb2qYtWNcM0+dNJyT+okiypyqHQljYa0SKyvqvHpqp4Vuo
1rPs2wDlFfF1lCNM5rsMgoi0UB2svm9UMk876rcmTPmQj4HdcRTKDccHqj1IxvIgXhKYcVNUO8Do
JcF3qMrvrAhxqHe3hx3FS2Kv5vECVuS8aLcDPVeV9OxTTICLKOieVl2BuyhL4Ig4JLYkMon5ktMt
VOOTbsYGlOMI8p0XnXVyeKRKr3DB5mBgfeuGcd4ucdSy5U3Uhwb6u3hnzV5Y2q/NZZFwynk7koZ+
Tie4vJwmVqEVkLbBzJ/2XlfJJTTdSt7g/Yn276RIpuM+6vpxwIbJkBuAxQOoBitniKiax0rJTG9F
ylj9dgfyJSg23qrl3XSsIwjR4L2StYCMYSWKJIta/UZM6DHljarleKY7eLXyAopadE4r2vcnE1YE
X6KF+fYjs/Dghsb3dC1+UkArm7rI0iUmJ2XHMLK5OLb9U5dKqCblhwJr8UWD3EY/1hMfHkxvUXEV
Td0FRdRBFW4vsLsvebJyOn8iFrIHNzVfNc77ZAtRplMQePWc75QF822LKYTPdujnpCAxH09ib2xf
ig2p/iUOzbpcSCJkBGcSA8mziLU0PVEJeHA+0ei4ZDiM1jk3cdVNTxbQqawvFFeJfBBTtb9J96sB
6mEOej+lqYDlPBxsNhyjKDlO5mDY9le5BPWt4H08v1hZRcu73tiowBvJSL7CrHxdimpt2A3KNbhm
CrBoBnTac7N1zU0zawhrMPCqcdjS4jjmTOcDzJD4aTYhualRD3xaVULva0gpqZxn3TgVTUR4Dc1W
TfJhYB2/S9d6/4uB/dM9EqSOKo9uOrLHMSDmbbhC4hVXIDo/1DwlB2qniJm3S6AB2523pOCgkT/i
PQdkbZiXUqiRg4b8uJuUfBjWoD4L0sGaXaltvl+EzN7UKxT0TwLLGNbQdi3I1WudMZY9WF7vd3W0
ya97vXTvMypN0Yb8WcZGfYi7rM/yOtQTYCdWCvhlb2GbwX29RrW7X/6Psy9bkhvHsvyVtnxuVoMk
AAJjXfVA0tfYd0kvtJAiRIIrCHAB+PVzPLtmplPWWTVWlvkgKSLcPUgQuPfcs3hE1fkjX6LylYdO
n6faC5ljOfOs2+bN7XtTs7MHfZG+rIFInsp2BWshj6Y+CY5FlyxrmxZYuQIyeV+RDzUVfnphjHOf
LqpzAlTOcFl9ri5+AKfWuw22KcKEHknjYhxthD5GxUOdl3wJg/MSUqixIStdydlUYSFvbeDstF+g
8yevG28jnklPl+lqppqV31C5duOOTVEQHbXSil7XbmkR9lr2S5uuoTbiNZ5bTe7GeI71DjYNvocl
geXVaQgW2X4NKmQJ1xnziqmc2Lqa0pkplKJymhOVmRY1ypoWcRDHbeqZn9UPJ1g8Xi9uWLbvCKVa
UQ5Vk2BY3S2eLabTGoKhegcXnQJZ5KJV9YML0fvvhp7G3X5KsO/k6GjK5DRe6He7Memi+A6imppd
gT8bh3koHZOnELIp91OBjN3dzXYSmmRelkt1tqONCU9hKCIwHt3qqPUPaI2TCF0wKJvblbWtxb5Q
9cka3ugOj+RTg2Z1/dqwRp4o8rbRIHdr8jW0cRN86zBgRZvsBobERYDQVYbVgWIpLeYFu7s1s8uX
rjTijUPTP72KFXv7F2tHGdU5S8YA51XRs2B54utWuzINoiiJ02kqTJfJIm6jW7sJ539SyP3bD6Og
ZtuJGrGFj76tnIThABvMPTKeWeN2/QJ314NUQTTcczxl2BFJbEaB7alyCcDCqoes+VjHpFqPcVM1
pMvpZlACpC3nvIQN/ID+AxVfPWZ+0ZdaBDEu0/pQT8aU60E2ZWNeWxsMy36og0merJUzwx3b5Gry
MWrd8q2RDFokXjXSfpvWZlz2uiRdkMlmDq/UWBY8GzEIn659XdMStyRREANaoOyZ0cuIonTksJN5
nTe45EIgPRbXQxmNh7Vw4nGMI4+Y+4ltm77zbdumBtmgKURh5RwjX0zUw96vgvmsRJzqfNpiiwat
knOS2mkdAp1O87TahyRck+rngmgTsdsaQqqcr5dzNS0tMiaOBcrsawVrLqy6OOzic1Ejn/VKl354
kwIXIY+niYZtShQoD6+23eoAVaonwcFtWNcH1AFhcp5wBNTv6xqrA1qAUH4dYHGeVBmTJVGPemFV
BUvosONqTrHIWJwJ7Koe3VwA4dyWVKG6FfVKtszggX9pQtbt2kLxHo9aMZ8HAgTjBnhFzO5F73hz
XhcjvwOJ+YLSY4o4IlU4KOADMmKixz4qi2/ws6hVXnbYFFVtmptpIqjMNhiMrKc2EVWmN4/AEcg6
yFElJm5vxim27Y0pZns1az3U7wiInj6DsbE2d3OA20hd8trM9DLcaQTOdkfXV45aYsrLbUStDl7T
5NJ2Tbo9xMqSp7VeS9QGGFUuCLsTDngtdkILfGeqb1eoTJDAKC5ID4Tf5rVBMZZGDAz0E6B0aa/j
UYzBfZyAxAdSUNKXy2nhZTm1uCmzJxaK7qJWO0diUSe7WnD1UI7Iht+FUK+MP90SNUsWVECuvsGr
AWm4hglLd30V+QhLU0VPRqEfOfi+tmlUYwPV6TIbpNiV0Vz9EKyz0Wu8ztWS+c6G6HYS2i4urRfR
Bl+VCovv4lKaHIWDyvzFc/05Ne1EUe7KMUQx29FmPkpkgohMctN9DgyPbCoQ2ZEhFoTQXSup+B38
a+INF8GLHfwtC4pWBqHqexcla/JFl4GE/ljJAshgIDs4I1kNi4IcRUm3nhkfhh9t6+IQ+xyt6v4V
Tm2yziJTrfGxnqj/QOtcblemjYrPrmo3yZD/7ZfouqtWOr4EBeHsM0RkBvtAa1kBGalLdi0H02Dv
IJXPojIc13sji0RD14HZEi15Se5VwDnQbJQe5IqtMBTdy8XwKHfTRuLdwhe7pG03uyd4Iof0TRu5
PAQBtW+iSMIXcD+m7TAUEAEdgwGNsWs7t+w4FTD03epFv+GaN1d92IDWxmsEcMPjhA6noZJyzJju
uzXVQdF8gVLXpSODeEtruvIr43Rwn/DV3XC5VWI/FLBe2LXMu8OIWIlDqFtyoshkxp7Xx/a1kiXz
d7ocoB5eFvj9pGyci+lpnWHx+g0GImjOrF9p9QXQcJykfPG4DtFa19gWZBzGAyqOBPpjQaaXynEU
iTGghLJElVGzAPawyRbkBjR4tmOiBG6yIl4dOSWJ2dQh0kS/wn69bh4jMUAE7pDA8KjwQdJYLaGe
M2zbflpTA2wsvtNNldAs1vg4L8NQrMO+Hou6yiKa6PX7het6Gvq2665ckmwt3qMJ7GMT0rW9i8tk
RcHmVbwXQgfDERTKZH0AFN3vsE30/d4wVts8qpY2BF0OwbC7YSXYROCPcca9ABxRaDZotNsrSMuL
99OjDap6yXo2h+05CJZuO8B+bPsIGGKT0hbRkFflNjg8PoXA5WhWsmsknbNxnNZzPIQoOCvVX3ld
sUewl0coBODvCJwDRg0xTYovwQY6+V5AIeNfgDO5BQeRJeHHJEwZJcjAaTbAA7addX/qMaFQ36pt
tF2GOwXBu2gqVObYMduly6qx0PAvh3mRvIFFmkgyuXI9n9xAR3FIkAGOaNRi4UKlAYPt4X6V8eUh
DOqlLJGuOKJjwubT5PVm5XqaIMqQaTS4qcVjjHnX54yzszhpM5EyX+CoTcDE7CIavg4UFVq+rNJU
WUIXDq3PxH3zqjhsanICv3n1pQWgQdOun6vqhbgNu0cZBDw88yTsWNbJqI3yAWjYkg39AmgrhQjK
lXkNcSG5o3o04gGBIGpJPVyg9W72BRtSH20UFYzU4fQjMEhVSBmkHvIBWTZLcqi8XpMfHL/U+mZR
oPJrZsM2yWibNNF9W64EpskaTUGlbNc9egj4m31UW9L5lEFsvwDArPqtRKM+AXLAonYoCpHRXowI
1pa2uKkGorZTSInrb6QGTptyHa/wS9eV+SQsVtVttBU9eEkFafrjLJYguoduMuF4pky8rZj/9F7v
kd+4mj2YbrrLMFVh8/d+7WyAgMRtEqegBZzyhbTd5Q5xND55aKSuIUZFA9bdzsAPmwz6isnOKbxY
wuiK8IihuWRT0B8VeBbL9zXy0uYF58V0WLFfr7lhWje7No7FmEdIpJmadDSdr/boBlt5VVDYr4F8
2V7iwZCWNuR1paQ7FxNJRAadSClZDicGggdKFR3m2RiFDuWZLy7eULNMmh4BEgyY1o+o7VLgsGGT
QjC61fmIZdDuqZvD8TNRrGkD9A4hnWLk3cLE5KduuhZ6rgYTsgmHaYc6kWZBa+SBRzry7tSEIhav
8IzupusVrb3T+MUVrSlqEBcPdyxRrXsL8NvIIK3CKR7m/cXNGg3pIraF3s6XDvqqCIbGofgCXxYG
U74oyzvfhRbNipljjgecNsCskgyzFoZuldhO9j+UR3cNbp9POvJppiUYUQwkDA3TMEHbuCCtZjBn
K4dZ3DFsHiVKRVFvH02FacS3ul6HZk9L2gcrrq6Oe2Qxc6MeKMp9PMuRTCjba5RG42elKVtFOoUS
bs1rQmfxHAKfU4h/Af4/fZeGzs2rDuYhuB9KDHwelkujCscCL9ooS5YRvsaQzWnTnqoOcy8sEqrj
vUnQ+PAdchTn8QoKwJKt2YYZ0oBOV5lEJTlhfBJXq8Yk6RrVteDXKIuoferbujHnpIzX4RTMCGb/
FhNSkIxfarb9PHTBnLZJtAbXA4E71UMw21lhj4MNfSZRGfc7P3fC3Co7QejSMZIsz1sLSmMmiMWQ
R8VtD4sZUwbTD8GtLp7j1WLz75FvUC/bOdgQ342SFb6G7WnVZexRTyHiOgsTN81HP/QyPhqg7Ouh
bfhGXoEqMnZWDSaBmSYdCAA76ImJETnW5gZs64KoBfvRRNGcxbyrgxTP3A3X1lPMGhnsMfYkBLV6
3KsgxLyH9xjx+LRFxJpI/eg0y02VMHqc3Cy3o6YuID0s3aJ1lsD0SmSlDbMM62sWGmtfmYWr+mdS
0rm7RmGrkn3Lqlk+rStGM3lbirqEOhGEtHvV9y2/Ksq2b55WgQtz5SPR2DOZEalzs+CzRkg09xu7
r+ekK8+uNrJ5QaOniiUjM6rlMa8H0QG2pvBoUySb8TDrIIP3B/c6xxwwEXLfgA54sTBOvsLBkNgw
kxIGmN2uwyjIzicUYAYXdkpqbe5xTvcAnkHGwSgNtZv0TzEuO8RVklXN9oLpSeH2C57kvdy25BpN
NA+uoqCQKOw4gXtddBnjiehAas71oamTkV1v7QDldRj5Yfq6qlnCtKKZYR2yn0rtfJWGK2cJZpwR
SFdktGLJOIAN+61bYFl/P8B2wUb7i9VrCEzDMYS7C7PJpc5kt65N7jtzSZSbLL9lpqD9iULJux7H
Xs9xXi5e99eRhU8NIFKCeevgTTLvFUD8MA1sGAZ7zCgnlbeilGg79Wg1KqS4U/G7S5Aif1VsZe0e
YclAJ2DvVWG2j7hncfldNwNpTySG1PFEgPqON3ANMNNzC0tq1DY9o+46pIH1P/3Ian3tfRlYAHwu
EtkmUY6kwJdnzFaUtSD7jRO9mUln12zyCA49GXyEOp+3KGoycOM5ZuaUXui1i9hLMJtv2wXJwC9k
bUp7Y6Yt7M8JYu+2y91OCmgd5OSRDG8TWn8HzBfEec1EoC3MWtHPZLbHau92qKwbHJDYSC9t/mr0
eicDs8SZD4LQ4GERo4FcQrPLFZQacBUqCcPknU2WNoDdgErUx3w5Hz+SGfYJ0JKz8jQO0ocpwX7X
PsXGRBOevZJ145RqYaGqBsSEoKikIorkccQC0GvicixuoyqZ1j22UXghLm2vls+pdtpdD1vSsTfj
Zk7RvIz1fPY+2dybSDq93F08HOOj7eYi7WB2M6aoRssLWK7dgjMXA8x74b1MzraC0uAWg5IOgnfU
xhugrbEBasUQXEnZ9A7h6ihSCIuidee4boDambF6BE0iREW0IJT5sQazEeciMjbg3SgXUcjXRBMJ
pnlPMM9aDn1hxmFKFfR+NB0EeARxhtm3mT8BJJUAbwHYkOkdaMWmgpRPKF/rlGGXnYAhtgPUHilM
6tF37h3koQgH6h3l1VcorP1s0nlFiM146JaJqTpbR/iHow4l3LEwN3EFKkf+79ZMsOcNmDhgUhVP
GQEjyKaBmMYig1Fy/BLjp4OrZa1KfZLVBfst0X47fdkzaXE3RNbsgBZsM0jWQRGc/r2YHXHe0vYI
o27ncsLrYU43X7E7DKz6OecFxN//GoPp1/A57mnfDb1td0R+qekzX/41cv2vhkKsjReMa/C6sXoU
AC0U+xclNL+Gzg1wa5SFSpI9jkkCEEku5MZit7b/RMP7J4ZVGBn8kTIGKCyawEjDZCLA8zdWg5qu
ujUY4IFojQbgFC01YgESOUb3zgK6RYNVByQbAof79I8pVBdW0f/ENvqFWFZiRONUYJL9gDTTNlcQ
tdyAPDhmqNcwfsQsTvwTp4E/I1P9wgU1o8VSA6d4D0OAMXma/FDMuS5R5+YrTia4k8L+oUVV6nz/
T67wn5Asf3UnqsEPw2kSsT0XyOSYYDuzG4E1/5Nf6M9e/Rf2mUain00qycAc6b43JnxdhS7+CV38
z177F3ooyvSx02XB9h6xH2ll/EnNbfwvvvgvDLMpDKd+mDnbA4PeYZCq0iIE8viPF9SfffJf6KGF
W9TEpOL7kgQWZ/pSpGGF0/9fe/XLu/43FWfU6BjsIFyXaOvgzTtJpExuw9M/fvE/WaG/WhNxE3ar
djWWS5XI6MMCU1ozwn2EXCERdTrVM9jYR4icmP6X4vniX22KKlGuCTxb2B5xqOyNjsbe1iHg1X/8
C/2+uf4PTzf55elOah8DFirpvhOyAgIte79iuIL/Pn048VeKyhv/0tOw5wel6+d6U88hVho7FlbN
FXqVstohnfHDLTGim9MpQUn2X5/uP364/1V+Dvf/9Tns3/4Tf/8xaDT7ZTX98te/PQ8d/v/Py8/8
3+/540/87fA53L53n/bXb/rDz+B1//6++fv0/oe/7FCXT/5h/jT+8dPO7fT76+MTXr7z//eL//b5
+6s8e/3519/ePzrV52h6jPox/fb3L50+/vobvAcvrOv/+O/v8PcvX36Fv/528169m3dbTeb9f/i5
z3c7/fU3Qf4iSSQJAfkA6rPkkrW0fl6+kkR/4SwMwWkAg1ECpsB79Ug+rf76WxT9hUT4ByHiCPZI
9BIvYYf58qWQ/YWHjEkwoKKIx+h+fvs/n+8P9+j/3bN/6+fuflD9ZPHThEV/ODLw2pDr0yQET05w
+Ij+6nyAiCDhML9zOz9BwHLklzmcWy5Eua2iP8sGXnzZ1CUyzp1cNpOKchnBCCpJeCWDJFBIGatF
2vSWDV86sF/k7TKTy3f0NvoRjzwkudriU+Io+nYUv7CeaJPSVDA4rlv9wMDweQsoU+UT8eBZPMCz
pbWYKsCpIoNt3LoAR+UF+qh2NQYwiJZoyuFV3QAqBS8HY+kIWK2MOjCTPGwckmxgfXnfT2X4E37V
FGM1OKBnYzPL09iMwWPUVEF0Ozfb0uUg7lEMDFU4NneX+voaYnLwS1kL+D/szXrGYAOEN8OGpbgt
4NgO0E0AaQTxI/qCntiHhzUgbk7HJLqUfAW6U4dpNMbnztD6mi5xaLNe2KrLosaVJh8WS+H1VtYV
KA+Yee8NVgTJsTslW7YutarvMFskcOpw0QvHnPE6ILEv9xt6r/YYYKdpzsCgZ1APLkyClCcUcwUP
INmCQizoQzSFjUe7TWcAjazKp1qUoE2W0V0CI4Tr0IgK49BSf0UG6g+G3qROYQYzzOhJLkpfDKen
FMeKSCVt1RteDWfAUpr7Ap3AcGKtRl2+gZwGDRQp6WMDF4Typi+LtchglAL2E5hpsT31fgvcfh34
gNEkJ2y7oYCkg3OZhJpnZN1ocESrUr8Zsa3zAcHgxXJTGOdlxpSyUS5w4t/3zoVrBvTQ9tcAwEF8
xsx46tNh0eGRTSAHZdYrjFQJbSp91bgOdpdwjJuRe9+v/TFyYppygOjRsCu3CH+eEKXgQYOoVLH3
TbOgSfSD9TuMoaNwV0HcHKUUve+zhSV8e6xdTL9rNIAvHeDGjJfGfAy2CN0Zqw5TV9IVHhMrM00u
Z+EA7pch86ls7YRScEs2k5EA9ioo8At+rmsSf9cynN2xCsFz2lWutEuOKS7umIdV3BnwpV5SBV+A
a2xX1YNRyX3SN/zFWpi6ZlMxBqcSJhxgP6wJSS3G2m+ir8PHYK7st016fiVZc1yGCP0w6A0ieioM
5oOQ8KoJ8VGmTHgakmYYs5lo/6T6ePuAZG67WS68kQz8viq8M3OZgKkwNOi0on7Ty3EjZXcja2mm
o6MD7J9JvXRfp2Ab72SdkDEHJApYo4D5w5DBqII+jx4AWkqiDiESIhCQzTZNz67pBJc61IsYlgPz
C8rwaka75lJbdvTG6BD82bUafAuCe6e+gb0VuR06Z6z2sAyANGngMPkwVsAsBSlegw2E0y0Bjbxz
Q/8BhAUQGED/fVlQ9yYXPHajrUVyCIGufvVtiedGXxh5JbLMMkq74aon7fJsEZRSpa1vsRe0wFkV
pfG9wQTapIh+rY/zMnQ7uGGD2gBv/qg7jjCefAm7xl5heFN+Y01Uyd02wWfkoXEK+uAkrpbiAOR+
3c9RWX3H2Gj0aQ3J2pKCgDtjebTjswIedHJbQhVg7h4jwIqvMD8pEt5+aFaZcww0Jc4wst5e57Ds
f4zLsEjQpGJXHlC0Cp13TVJmSbsuO7qU6y0o7AEci6O4TpdyaNcnDR+h39nYjuYg0cKa1MhuBPQf
Ffq8gAc7H5xHV4MKjOg6b2LKm2wrsFYzZBDZN9gqJ3f9Eg2ZTFTwDRzcpH8RtQ1IvsKcGrygRpIc
YC5MDhMcg+JHF/gYGN0WHwAFYnlWb2imyfdpbkGkioZ6R1Vj9nKuxryyggfYwrs4H0KFt4QP4Hjk
FAMZlDkwmcvBlp6gBvGyfx7cHFNkQ+ptt9CxeOx8QJ5L3+CK8mhNll0PWtm6a2ldP5C5SICWkWgB
OwsIYXBFwdJ75wtmHMcShvLNDY2LLRMlthzg1nG30xEQM1g0mvm+UE0JtBfbXL6ULpywXyhYTiKs
ASsRJENgKxg9ry/Sb+OG/SpURWpx5RUcESh/aB3Atqz1fTdmELtrnXO/4INErMLwDbETOAC2BOB8
pYE0Z1WACuKkRISwXtkpvuuxm0mgqspdNZMiRyzmLTjNfVienBu0yjBlkfYYBci02E8jk0dAw+qD
Ozm+9bMZHoJlUmAOjmr70SCs06RDwiA1cPUshhxvMXXZMteYnfS0aY6WtRLEAUzkIBHgW0RTAUTk
vuijOQWC1dX3ttk8CgQTx+/wx8dBJ/peP/tB2JuBYFqY8wbZhgDssbVKpMfIdEnK7tbxQT3Golpe
Vz/Ic+NLGaNLDrbHuiMQVZUCUONNIzf/vGxEwH+sbnAcgRcx6qPjs/hMVuqPXVyGt6CTYeQ0BOvQ
plAxrGPaAy5BwvGSiDRUriruqK+dP9K51vLeC74saYAR0k0QG/mVM88e6ggWPXGtHFqO7nHupAJ3
cJuqvOhDBa81TNaKcgmOtWpJKmb3vdYtUDqNPTMitom/AfoUbVZGm3ib1Bz/tBp9UUXd8N4EG4aW
AzKvT8TBNwF7DLA4GDs/eVrPwNRmYMseHqDZ4iL1GIx9cg7HhESHJe45SIu8ytu2NimEP6XKRogH
0nkrZZsidRnThJHBxjkpAMKPW2FSUkb8kbZB13zDgKW85kuzZnyotqPrCLBvLWHAV+k1DrMLEe1Q
lwNmGSKMJoSllOtVUK0lCJ98nXZ9onyyC2uV3C5jYH4sLS0/MOmuvlbWPwchDlawF0qqMNIww145
TXNIKMiG0iMB09VgLzKovLZoOdF+4t/HoNIEFl1tBD5ZXZ9C6tkhMoV4oGj3gPSq8Lnlsf7GwsoO
t0hSW35ykfQraoMm6u74VJk2r+o14HsWbQ0wDGCiO0iBhvA40MZ9L6NSfqwQuC2vGFL36sCHcPgY
WUzMw1pAJnNxl0jkmXYYYV0rGeIylmAK+pTCk+MjLluQPyXFKPpUkJaCKo9yDmOFcOjkue/j5Wkk
GFTlClTdp1XaIT4NjnfbI1hQj4D/muHMDBIO01iu/sEnMQxx4q26CQHCHBVD+lNWOTMhgwtH1gRD
a43BbOWGLBoLPCYoxMEd30x16kQpzn0dqGMh1/iOUFj1AiZdh93k3JyBWtDuJEEAUdqgBvkwNHYv
rE+qHcIAojwBnwlV9CBeg6AvPHQAREwngclF/+57sCoP2Gjls1c1/ZhBtdRpSU1/B+7L+Do7MHvr
GCz4c9z49tpGQ9JmEAiEbxHBUJmjVru1EysPsl1KCBY7w7sD6zgF9Be5OHVe6xEGHpr+wAHZ5jiy
RIP4gyB+mwr7HpmxqDJwAVsAp+j3MVUcx7dQMR1APVYl4FFC9LtmgfL961jO5TMmcwKWoRy0OYJ6
8WkdW8cEVvIYfdnAJMnkiJn4jwlxQIjwpNiNC5BzUJO/h27j2eyrp7qJwlMQxdj5J8dieR6RTsaP
ZAuX7boJ28bvuxbM21s1LDEUPGuQ1GlA51gdI235tsefugR7XrLA7yDsRblX46z3FhY87mrexPQM
5l/PMrhIRk+qBt0oB7G9BOG/0Y/G2/IRa387bssGAUcjcMwjuXee7xXGoxlGO/oKZmTxPgpQFaiW
flLOI4sBp8EU3IianWxtffUGBBykIBnpAnxCDTZbusUEPELoBO/p6nI40uvUzbPajbxyZ9LJYQeY
GcNaC97cvCoMRe0G4n7VJkamccXY7ejk9LjCIhH5L5H6onFtT33vTIPBG5JdjyqQAc+hbVBqR3gV
NxldguBrNUF0ca4DDR7rHHfJyxovnOR9TUPQzc0y/CCtSJBWg4P2FvNNNGdDclEKWmTYPCnvinY/
KFnjFrLtK0byUKfgU/C8BoUxBLG7A9uFxtoeaGzctzEqJ4J2rKF3qorJMwpc7LDIK0SxPpvqXMSD
++yK0e8Ri9SeTFhs6rjIgd6gaRAFuPRwlKgHHSO5Ce1MjiJjSzLQCmeTbY1z31zkC51GgNIj3MVi
17WAEjNo97YpTZq4qXd4mMF1WiG8/I7Hl19bcK6A3YUEp/tC+/JYVFWr86Vq9ysZwbIEF6K7iyC5
gJ4U2Sshps8VxKboiAlmXCqo0VWhveEZmtwNbtxN9I1NOMCybZrRv4IiR0tQDlsQjgvQ2vyLKWxI
j8GErJK9ArH8Ay6u7LSAbPK1Q7JDbitmjo3GNr9FsYE203PsNdAY7EwPAkkHGlCdQn4A/Z93Mwhd
XcTtNxqMxV2ZLOzAQ1O9GiVakYPcWTX7om75w2amwZ7HISpIbmXBC+jRemSId07WmGyUCA0CTxl1
DcgZ7k5oQFEZZnPyQ8lYPMW2fAF1yrQpq7lM4TbTYeluyT5OFEEiORFnbyE6AVbZn8AI1fcYkJNc
G84hFfKsbXdwlrWPBhrWNIb+DJTlXtkf9VTxaS8jOZljMoF7hJZ9+kBI1nLnTA3WPwIPkyZlQ1ni
kHaevNNpJXmL+/ATLKztcalwwKMa5dd0rvhDrUvwYKpivQF7+KpMJJvA1ADeBTrdAvt1/sPOKHiQ
Lp2kKurXK8gRn1Q0koOtW1S8C4/ftq36wHJzuMaKpTNXHy241idbxF3eKoHrXaNCdiG/pV2gzx2z
+EDLoO8xX8YBCsXYN9QUcL7G5sefaPNOIsbg9lMwFPp9nMP3p9+FdGCnpif6CW7T5ACtKOBLWeXD
YONDqPrkY26D8FgQQyFna45bL6Dv4XNT53De6Pd1Z+InE4b+KtkEubAV+ivQN9f32egip0XTdaBY
e+KOUCiAWY9Ncv2xzRz+vX0TjpktmDhPzYiiC/rDukVUZTC+s4YLv9s4Jsd+js0R05Vw1/A4OdRg
Yx514dHuL7q5BwvW33JGmUnZ2kKuA+RRpmKdtk9fWwzVGlSQGcz2xLMHW/3aRxrjfdtT9MStyFbd
kDxCJf/ZBs4czMV3AofJlxFj8TDdBjbfWI5NdMKsq86AJrPi0A2yPMIc+jC2ojn00KekYawBfjRc
Ty8odxHw1nqrM/d7z+F0mY+WNT9FXMnT/6buTLrbRrJt/YuiFrpAMwUJNqJIilRjyRMs2ZICfd//
+vvRWfe+Sle9zHUHb/AmmWmnZQkgEBHn7L2/I5tyuY5zsrzpmbKvRUkeGVcWtPnasObWLxDiVkwd
ZgRdEm1liQHCUMwXy3T73BML5YImwlCGRFreGkTJNmZfhiuFHnk/ZNSnvWPVryRgD0R/yDpp0pFX
/Jndrs6b6YJbk8aRFjGfNi3S1zoztddQy6t11jfNaTSJoFjFbGyqG7k1a4GJ0exlaM8sHxh9ZwdY
buK7SjN8Ypj9zpycE6jacWXVjnWYpaFzkPKWNdiwOiiMTlIjD/F90yoRDGzGG9vTON4x5OmehSoJ
eGXcb4WoISCoBhGpMIkJGLp6miGkDttYG6YnJElGXLZlx/OBd/vsKse1fZXYBE8zMQasuLNfmkW2
mTtV3y0YYYzDpCdVF9BN289h1L6JxNWeJNArQa2ytM8LjGbsoKn5rYaWuHXyVONTXbRdZfP5N4Xq
AqfNEnVXTyPHkDEa14OUknPOkjo/piJ7twUXMpU6/YJuyT/xUoZb1ofyWpOW5zgUilOG7zewwhFU
MBtrr+fFWmURM7Qk9gXSkdM1KjPnVElsVX5HOdD5XkR544ejjA8wnIq9g4XlU+vMBwyi46qdxMKB
LJwfbGu2g0l0TAZkHArBpoH+kWDMC8GcvT0t9KbmcrFfbCOXb5I0ktZG7CSqjw9O3VXbmXojIIlV
xKdwkvOPJc7M5zSdtK+xYXhYj7f2ocfVmdhy6U6VmNPxGA1VxJlaRLt8yX7WUjfaQJjttOPoPX9F
bpI/pK00dvUw1EGj5fTWNehZVj8Xm8FFkfdn0M+cpBapDI7DDnMQ0yRexpVL0XLBQYHNRxY6m97/
G8HgGP8kaF5+db8rBn8SGf4/khUcT6OrTxv+/y4sbLHzN+9/EiP+56v+kBUc6x+06hkRYJNtN7Rf
qvMfsoLt/kP3oH1oho6EYJg3pNl/ywrWPxydl9yzHcOVurT5If4pKxjaP3TdMTmSWoah68gR/xtZ
4abf/R+hio4z38H1NACSnm44+u9gXM+IB7vNJifo5C0ktyzz/C0y7Olv5LY/q923b+PaluEYtufY
Btf1mxbd2lgdxtshxbbS4ftAu3ODsZ1hTUOXDluF/WT7L5/CP+WTP8klNzH4zxfm2hie6C1qGubr
35nvHg4eQjKhHTj65OU+hq8sWvVkmNg1KQPXpOjiR7d3EjAj7rUfNRyQiNfL94IW21arveSO6JNJ
6T8YAYNBkztvzsYjLqXlXp/S6m/4mb8phn/cIT5yi1XQ0xztdyR04oh0HidwDgxLyz/GYU5XLRsQ
hlWCaetEhC6NLNzsPseWj6bUlo9+cseXWTHzT5IM/FJ9nz4X2JAJ7C7l11/fTuPfnxPXduBJOTqW
AZ7Jmzb1LzowlghajjStgx6LzzFe9HRiky3NtdOO0YF2joMNUK/KQ9aZU6AJjQ1e0RHmZ3Z3EfnT
b8as8vM8RQcmW+61SFwmRbrFD4eeOtKmHfNGP9PdDqHVPGSoAD96pafbnMkg17++ll/4x98fDdfh
FTJM03L595+vxWXJ1LrelEHVZ9H9LBtOMTfKxXqC+HU3NsDkV7mpyUCU7fhR2GMZkl8oPKLgeSdp
d3ni0k9T92YjGlEk68V9ngr5Ounppm3l0WmATtCsGWj2CnUmbTzsO+bWBo1K3ipZR8Sr5SvnWfPU
EWssiluQk2mB1Wzn+7TJ7BNbXX2PZ2ihAIpG4nIGGZNNlNN/ShyaJiiB2Juwf9GI16IP124Y3K4T
2zuwRy/Hjgg5pS6r0aHJtZFmtiG8bl0SV3/963v568X97V46miktE11Sh7p2e/H/5bngcEweoJ1l
oHOmPpe4t8mJjdq9a2ClN/UvkYzTmSEvMF3IOCLm9002ftl11vzArN4dwdiiuRi14UCLyLI1mxpA
hKIgnC5Cs3ooSVnvhqFV00FV+fzh9aP+2FchsJFsEq86E7Hvq4Uw0CqrYs2flTbdu2mfbLre1v7m
wfllbfq3i3VuW4JLdJZX4beLdbWK+am8BAyEH04qN7DKcWutfcWy/iBw3G8Y50GnR8+WCzE8dTAr
iXkeW2+103H3PuNrnT+bUWk///pz+A/rq3tbZA0+AZuw+G8mkEzB2snkKAMoRcS+m/ILbvje6tJp
TVbif8Vn/7VUuZZn3KRy0yW/9ZtXpmR/GN35FheeYeNr4B9ub3HyNzSy24/8283+03f57S3N3CQm
60NWJjXj+FPj4EEhU5DnQ5iaN399+27w59+/l4dIcdtRXTgnv90+HsmkqoxaokuYxsEU+fJB5UQh
2pja1Zhall1minulj95bPDB7vVn/9Q/wH5ZXz3IszyH8Ki3+889PFs1yWdU0f+B2O8OLPtZwGsLF
+Ztd2Piz0QZHvKtzcJDSZQk3SLb8Zk9hIpLuzlliB4NsrlVrKEBDM8Mth8uEXcSLzxS1K5hDH8Ag
Vn2UifOiZ6HPfuKuExO/v9f3LTwBq7zYeCu3juo6X07XlmwuFKoI13isyEj20R6HN41a01saiNj1
Z0Kr/K9v2e/Ph3RdaVnslZbu3c5V5p9v2UIlUfd24wQ1284qJFboo92o9WKX4m8+nX+7bZ5GvIbg
hc0BBg/Ib49HtIQGOCXhBU5mq7twTsXO0ZbhoBqKJrMN+x232vubb8pR8Pe3muYpJwGOS6ysyD6/
f1wj9Z+R62MYDNn4JOOU3qFym60XTuMr0VUMWfrUXokV7snqvjlekWyccTbeE0VTs9MiKtjJZ3a9
QxDNfmir6mYTNmtmBzIKF9CUjyvjLTTat3LQqRXHEjmJrjcUUMrTjHrRGae9TAcLN0gLzAL/M80X
pK94jkguSyqnWJu1Dc09eXTLcFqrRruvDJFtnGlEfwshEZlVfunryPOLWlW8QNfZSbFPsNNZ7iNm
8f682O8ohR+FtrTnYqEXWEipXttS9GdRJ8ZmTFrkniWhhQQLy29aJ9nSJio0fp0lb9gXdIKpMcP+
vKkdPozMa7ZWZNEMyzvTeptiA6u3lj9V1fDQuNue64wTpf8M6RIEFI+FD6kn/+4A2Fn8DhVmI+s0
RUT20LYyiR8EOehk1Un6oE922COyQH8m6c+e2/TGJ8Fw95jnTruJdaWvkSRxWHj6ANJstJ18HbJL
fYeIPgb0CGH0JJg+MvtRVnG57mqM737R9xYJFHLwB9zH1iWMhnqF2hNMphZ45bQryVfB7jDJKT8R
NPdnJGJIQd7XPJr36dg/1UP/mXC6fIkNcjPmQjQBxsW3PKrv2pz6v+07TBtGrb/USWJehpQIrD9X
Zc7fleEbZBIUGcb6knvLy6R69zikDmGNqiGx3yuQIKk72SudvNi5ATGx1Rkr8NAxEgDQCR9b37gY
rsNIfblD523VErZMe3CrS5u5+mtRV9m3MTa3RQITbBMnk/tAiqa6iJSuiT8pLSLaZtQzCK+BfJ9a
uosZzv1zZQCBQ+pC3YrCalsxyekkqlrt8OyIa8pB69QnNBwSzdDWAL8cvrNdncJF9EE6TlrQW67+
LkK92WNvkScDly96Vd3tliTvLlGf/WggevxIblc4aoQ0m3B4wCyzXconTQe+BeLmjMR3DIXTbhMt
GfelnpY/ARVHT6Sxddo4jLiQvUtSsk71O+Fky7rr6m69eAv656TkxanH6JTW5bLGyKGviE4UX+R4
po0YrPkO2SA/F9L9pD30VmBg9zCLkFT1G5y53xzgfDtLkflBWM840yHo9G207N0xIRTeqG9N1X6r
PFRLvyM78yMr9e5Fuam9y706Z5b5XAYVAvGKyqe9b/KGII7X2LukIeba4FIKJLPsV7pmFy9oTuIY
81OtGd/DH06LKyvsROOrHvekwyCN2YXakka+D9vh05TqQCbMJijgYaEsNHNaJXHEHxAqehwmkvbD
NIhNyhC0c4gYFxCdpgHdzz9aV5bXrBntM7GqyucdXNAW4mGf5fJhqTTz0kc5n4lBcg/rwdjfWeTN
eKm6aBN547gCKkOco6zunQS5PjVtGmBzBJ0iXKLnzoxKfq9aDpoGC0+WUEno1CYbUDMzG0SNtqlH
yXsL3v5+INZ1ipcwu8i5HI9Y+vNAEN7EgpFspRW/1VHebnCdFGsE+pp1tVmnA6SvCXHnVKYEOmYx
YaAbE4z+LhTlmjAAiqSqH2gvEtkOKe3sjZlbL2ZY42EzVdIEUVSsdSc9i07rryqcD+gnqx471pIm
TyEOHK64Si+mNiEMz7HxoS1TBkEg4aTv4snaJq3hgOVbioTRCPa5MfB1A7FbdvVkPurhtJKFZfh9
HwKDAPyDOagPSP/8IJx/iHS5zqz0B6hG2BjFYG1H3FTbRmiPZVohW0zDsZBDeE/2OamJVVTtK106
fV3VYxF+V5Rngx9BNdnMCXgkv1qaQ4e6vTJyE75Vqk49LrhVZ4z6ivT5gixOdtAXddOvCLAXwpc0
kGlmolXDLL3j2FFuyyRJD6Uphgeho4vFWlHcRxDC76TdllfLri9RyszVMvPEe2w1JfgnjQFToRO/
hIVrIcRa8T0OmluumuGmLYiMUzEwXtLDk7ON7Cp6h+DI5AxX632Hpui1MWY8HXnl7QZyaquqSygH
sxndRpX5nl51zNIvgfY0qXbMxqrHwsHincTNpdG/SGCbhW+LuX1yOwe8pB5VDwYt9KutUvdAmvDW
0XeSg2aZc0A2NvxW4Pt6hS6DjmVk+pWgc70l4MReSG5oazVd/N2FLLKqLDA0Q+06hP41bR9HHpMI
TcV2G80PGuzG9URm7oHOTkdztS/vYX/IQze08j40wXNE4aA9GVoUXzCT3QbHje69BV6SLEiijgRF
+a/WG061k3wAZUieIplrq/jGgOARDZh+88PNZbRhrD0wDae5rS6g3gimZhXn/sWx5z3ZgsAUzV3V
n6UWB3lrF+cxA9CA08jt8H/ZYSB61zniLC2v3RJLpJg6f3UMZFni/y8z0dl1GWlsf3U3bOUNZYFf
tEu2muUVqL12fpM1bNYwC2i7Q/SKIH27ckRTPwLGsoDGMy502Dj4r/a16VQbfKnws/DWrxcr58EP
u0ZU66mwrX2iwCoWrvbNxd344PL1fj8JcSngXh2XuP6wW1yFNI1NTsBZUzyCSTrhj9w5rfVFmPFO
MejhASaMvZ7mIV2rMUr2g8l9VkRzV3Tz4Z861rFVVTAo9AQXx08TYnCnQQBfchC6dx7BsZ67DgWO
EtO+kQNjfUOSz458px2ak2V64YvTOPo1zzvtaHRjdWcqNR2naWo/WoKCuT/UUfQ0Erd+EJolPyF5
eT/dOCru0jhOAiPi6/QQFn1jF42OQbGCdCgTExTrZM7vhtc69/nQzoIMcVkEjecU16pwin1UJ8Nn
NmLm8RNTVAdFiGDbItBWvqPHcBpCziQJkBdcfZL9eqD9g4BmA0a0xgqNA4p0+GRVes+HT+rbb0cY
mTPcwoxzZm1XBG7gO2EYzV5K6U2v2GgzKFVt1uGliaIwDJLejGxYu4l3Ik0LGisV49qkGCLlHgr5
pmq2IPC42Ztt9M7Wk0LMAA3RTccx945eVlf88BqxQ84zCegJnHyAUWuxnCfCuRyZmrY6V3PUHpMh
ueKg+mE5ybc+t/pNBP7zrlGh2vX98kpekBd6wRU2R2mz682lDNBpC9+9bTcaxhVOt81S31pEROSw
ToK/dPt7VF4dZHAfbRyieXe5AFYCEy8khxeNmxDzXALobMPuSpTTzJFeyVQmB4HM+lJMy6EPP0jq
X93ReEJHfNfraO/ON9Ni+xoZlrXLlcgvNdCCXasVJPS13LnPBjft1lkZ5+tS00EslcvinXKtatYO
k4F2eSZQxJzM4JzkSgL4sukeRZuma7iKJl6wyuhPaREjt95AgO9AkF1glKPRP9ShVBdclo/hlJs4
eoriDcjHUvrNqJk7Wkvj55CAyFhyp97OUwlEsqqcHYw6BXqQbe+D+O9A8xXxQlk3oZo04ZY32a1X
XVNekL/H3aDp6q0oO91vsNoGUGeBMCvvzizS6mKnNFzwoZDSHdq42jN/e3zRGnxx1CqDWfuxkhV+
qoWaVSOOQOzWjr/4miLIYBFW63oWNhur3UTWallacZeOLtHpRLW4rPFe4cWc06AxvPx+sCIh/diG
b50lEUKpp6F3xVZpQpIzwP20nvsoJoeCwaFp+AxQpnyjYNcOtChKhF/D4+Xuva1QAhhCuFzAUq0G
Ly8+OpqOm8nstHfeYSOYzTHcpb27PIhB64PJ8XD+TfgB92bhiqMWmQwV1rB8HDNoFeeGw0dAdBhi
LzT4bR+68TpmFMghV+4z0AMczm35A2xivAVPET3iBykfFwk7o69QkWLi+BR1nn3xPEP7HmEivPap
YRwNRwt9/kr187YUfs9VGT32Y15LfjPVD00iDZ8AnPdMCKV7clL8o+u+i3+ysGSnaBin51HDs7SO
0e02On6b78Qqa64hSneRYnBt1sXqpC+KxH3DMN0yqcx9pfruFOu3cdLCUN/iqg/PFYhhXiB6LyPY
jUPOge0bnj9zATvsZXjilqoK6sESv0wOKGTOAGagj+IzncHhJbXoDE5izu9Kb2g9H7B6e0Gxc2in
LM28KzivHeyssz9HvTZuGDCI6yaP6gXiwFxEuA8NYy8d6mOwOGj1SIfF7BcxM1DrxC12UTEm39o2
b97qxNJ0LDwIB4zDXjRvzeE8ee516UGHmBF/GesAkCjPKWxclWv3dYTfRtgaRgHcC7sBl7cvTB32
2Rw1D2yTyQbCBZBtNmK1imZ3fhF6UTyLWDC8IXOZjFQtIcVh0Z1SZ7o4IXFdn2n3/a7iEgRZ4Kr4
4peWvRotjIlBOrvYmj1Ro3VMypVYnVS8hhzNKSQ0UoihMAae9U6nYappnO/43/XPrAqnYFgG46wP
OXRGwYHnFDZieCfdn7zBLCuaINRldyOPWCN20Sjqtlltctj9A5FQArbwGzVfuVBa6FUzCYqq3Nyy
qc/bybHzXWqSkXjJw7D9Gowko7Smc1jcGRZ2tRWFgRwP3gwOxV9CHWNJNqfNeBv0KcRZ+8Va0GeY
osEk5WufTzkwcde8Zovp4YqK69nPh7JzfU74ScnbLis3oM4cz1091iwFCxRuP0xjL9rkBTndrsRd
KHFdVMHcNrNx/09KQ4xOb7tlsuCIwMY/Ya0go+m1z/EgiY4IzMdj7VCnCXf6WioPryS193i3iDL/
IcGQbdoKhuNqZofFWzoO5n3u5Ms3zEztF15w+6gtUnxw6fVbH47MC2YgSHfHVsgy8K/8B/xB86kt
7ZvdjrToDe6n3dMNU6znQ84w4MHM4nWN+/AcD552giaRfP8DEeGMtfsjgfhFd52F+1utuxB9XXM8
YNRxGSMxigJr5WgTL6lxTGeVFb4iKfFeDdnNWBaXj8UQuvdhI1W6IRfwIyOa8YszYXUW4gn9zC3B
mrs0hSG5LLTA/GIR6opJNXua+qnbmFqlDjBD9TO0OkHjo+kbx++Hot3MxdLt57w2ggpvdBfkRtl8
MxMbHZ7t6wV+Zdixwkd24gPma++aJUnfiUbowTiW3Y5XVR1qt9cfoMkIGzZqB6N8gqEgVt3UhcVq
muawhbgXsUtOw3JMdJ3CgGr4hyFrd093VR2MYfps9eGzacWzRgng483W9yaQjLVbMmzbGllCySj1
L02l1B1EXe8egl38SQAVFgM4shl6uMfOkHOwJjxhwMKvLf0Gz4jb1UKS4BNEEDY2tLWv1pBj+/P2
LbBF4uf1rlNkRVjOjAHS4zLElPY2cuYMw2+2sBeDDwC3bfvlHFKCLy+yabCnpAt8J1x+8PiJg52n
0HkYoHccO9ZgyWWF67gjoI3Z3+wPQ1cv+2a0CNLX85vG34L3SkhrTWHC5N9uniA6K3daN/Py3e3p
w2Ejza03p3HH880z90owmitnG/bpL3Z7NK4yoLtkvtwMiZaIaogw4SxPQp/GFWcZ/PZZ6q5vdJAI
V/0B3hmE0a6uPuZsot2W95CwKmpdMcHXNuuxC1dhMZMFI5DJLdSxVnKkVdhJPWPEHcqW3KXGtLWb
RWxLrc3WGFzh3aveqE6tIYqNZjVMY3AMpfmsdPpjBXrkJ62MxMOm7k7aSiTTftHbK/OOowd4DX7u
iTajBuzNYxgSmkt4Dmd7hrLvuswV4BPvQL0YFqKrO/LERt6BMMfrKEznJVpsG4N8U61Sd9Fpzebk
idh77/rENo/u0Nu3abv166DbySGXeb7icFAFxjQQjwI1Q0zFG4/T6KZ4XzUxB54ZodYV1FcXB3LA
xhrG4dA4XvxTNQsbMJMqV6ZERktjVTznILaflOqXqxDKeUGvZ46CA1no5hSpzcBVWgl4mZzEGo+3
++KKmIhOlRmP8I896tk4hLLbVXt9gZdRkTVcMUgpWcF3GIqVBZ4DvzXhrO3IWXLLNp3g8nQ0/L+p
DKO1F1mK49aMezX2AFFAKE4YHAMzdvFxeHZ7VGh3Wc1tXeWbNnb6a6e72i7jeF+ymrr1SNllxIps
xigucTYnpxp+2Z1b5902KrGTj6O07yerqHdjqoP8qgEhEfymBmoBaTdhUkHzLh9gv5jP+hT6RWN8
j0v73cs8ibvQBi7Iia8O7GjJGWHf2Ktuzo52H0p4tZF2rUqoi3Vhunf5PGbHuE2fisgDgZgN0Vet
G/qj01jWU5+W4T7mCBKIengMDZICBMPG65iP2q7PGPYwsZMS6CyCViX9NRSLerSXPN8SX7U3Rk6X
mYaueRwLq99KjG04fcvCRwx5613cZZrKYEeGOYSOxtn2Fo8RSNWvjmrlY16wqVdiWt1gFatJwkOE
iOuncZXvNaPMgrphtrYTtfSGAGkQ5KI7ECw425/gzGwW9FgTcsteR+sK4MX9tNocDyVcyrPbd42E
oXnLIgpW0oL+09YKtX5TkkKr/aoz3MCQ51rWlGJdWg2rRrZMfgB2F8EpTfIqIHp5gLuPbUoEXlKc
hlj0b7knP3pXqG0vJn2Pq50/7eJW7bVmBY/y3li6naio78pOWQd4IGd6vyXawW2aR3IphdR+YMke
WZooh40xn2jnD/OBBtgzrDjaCpqzQnhYGXFMs2/oqz2W2oPC4EwtMWUfDNyIV6nZfMfBdk+aV1e+
iksmxeiGImJTuQbbgQAaJSmBFhnvHQOPoV96JP/9rkDJ4ujhHKSY0lWzUCDjQXQwxmHxdHWoguGt
nJDwZr8XeNUP+ZBaa7PEOmr200ax5q41R6UDxlL5o8wL69GuFeMzVWRETMMQhr0h9tLtsnmuLHot
ZXQnRZzaWzPX5Vsz6EK9h/wGr2dT2dS9nv4E+o7hIyNJMj+dhyDlva1W1NLB4rozs1C8ilZGE8+X
UFjhI5QswkG9V3pbxzX2zNpYK7c27mppxAiYwzjOu8FZ4vfQYf4JlS+PVBPrZfIk4iVBctTxV76r
OGQh1qXprDTSe+HBjqlPVorRNeOb5yXpxVOONPfI2XhN5x59BIE2uWfK3vLLub0aa1A4OJ1jv1fs
h7aGhMB66pEvBK17TcYhfYREz2rLulFszWShpzmGUKTgatnOW1Vk/ftcgqH8RV1qLK/PfaB5IMOo
61YGVtYN1FRjBRVG73aJZLvHRkw3IlYD1WJY4S5hKMorjeImSIyR8QhT59w5tqSHLxwfAJBktcpO
tgZADx/C2UyMfZtX75EGFBqd6yzZ31VZnE2hDm3SiUdLJ7SBBbxQF8mB5MgTF72FdVJTEWNCb5V2
78z6RwN0Gq+2Ue1IrsSoS3ONydjbDrn3fVDDVdbTqxW2E17mkGNGspj1ninEBKxUt7WKpjx5TEpc
2Q0Peh7TbAR1czPZ6P2Vvbtgh0zpkhHHzklz51SqnbAmxfShIf9cBlAsJE/a1W1STFFEcIWdkJrJ
GjRcJjaqFInK8dEDR/6s+oo5xbFJkzqT9SnBwKBl6bE1RRgwXgawshvRpGjLMMTLSyET4Eqr1zjv
l/1Qmt33WE/gKzbQBw8gCjRF1C1NOPjGyMJ1x6ab94olL4JwC4AwUd5u1khZaJQ6zAJM8/KkZYV8
rEdP56BF/zTWBOKITN4wu+rbGfy+T291OsYEQNdMBVpeZ4eqLV8hZdHZgHUbn+0mfx1H3byoRQ/V
pu3M+Xulxemu53R8tLzOZugQoRLkTMnRmnkSqzKZPe04ZUKrfcfhNuAHE8k2b1V4NmkN/aQ2pQpZ
kvAUD6qgUcH9406KyNGDUOrZMyVcvG6bZpuCjx1zXTtYnkAvaIf0Oe/qXdNX40bm40vX5lCUSvWM
gLytdNfZZWhJQb8wlkSb5yZay0bS404EUE4kRdaV+Lkj3oNjpKIyGXjQADVrzVexxKeqxj5vxTOo
4WZdjFkZ2AzzgNJokQJ1YzrwzC+ODJNBODhtQBwaFRjGOTeo8XHDMIRCxj+M3sCFS/Bu3AGral4Z
30dv1bbqvUyM+qNgFAE+KIMHZCSyGPuwFIfHDK/qtKr1Lt2lIWT0X9QyJ3LzZ2OyYR/3NOu8FeGI
hZ/LAe9V2OoS1empc3pOFkMV36GcIDkYebabGo9sQKP1DPi2GJZ9XaaY0fCOPt6Qo66xc1MNyjPA
FOQEiNGvCaviz0Vv9FWBuebRrsKBPvFUxQe5WCxh0hkemH1BkpGcbMC6IQ5ZbIBSc+vS2jcGURBQ
aGN6GjnH3A3gCwGXtxURziiCxuT/AVbrwDysx45bvhJG/5K2C3FUd3GD2B6a7ejqCcc6Rig5Fdsg
CcetbDlB+RSlxpEKrvQjEtck0ep6uRTVBxNNxCfURLFqnF7cp7cT77gY8RW/Hkk6b+hXJfDGh2RZ
7B2vkvlAGnN5sSLDCVxPSNKSC7ZfSejBWFqiHCn0VOKyrFsFY4zwOVkcywbOzmFN9KHm8xk4y216
Vumtbabo/mVzU8bqUP/G9ITqLkQFWlcpwYQiNu0rFuX4yPQh+VP3HCf06eqxeaSk6Ne9JYk3j2Rf
s6gf1/SQzLVGDN6vUtG9EnaXj8zFQo6pdB4lBRprhOV9lVi1/BId6jblqV0nLLI0qAYoyLWW0k1J
Z0aYpjJ/jPMq3fZwK77VIWtdqZkI+mOBs82fIeUy94mM/MB0K8YOVfjy24AE7k/GexhvcnDj82y0
9Ro5ERM/RkW/ZCjVysXuvjKY/MSdyspVUpjzIRIuW44qBz6dsazddzGKNzjTn2pwzKP0zAceKLr1
dJMY89klD5HQ837dJ82tcrCifDp5C9L1tqLq7bdMSGQ1i5p22PFY1xwfTVqmY+5G4Odj9ezU2m0m
lxYP2rr0APivBHcWy8Di3ReDHu6kkzc/DTX6Jj330DG7Mwi1eV9oE9PIUkFspBsT7DNRF4cXRbPo
kacr/pYydu+VmQzZ2nZgzyuYuhtA98vZZlD0qnZ66stwHpCdM117xXXZPaeLQWPKzWva4Yvu7qPG
qFfYxtSnpxZ3XUFZDcD7zY+1V1f3RV7kG3aLLCBL2N4B36qoRwnPI7/ov6rkfjWZRX0QCdWXobLs
Ts6K/F7nwaZhD2E0RMZ4rtYalhONlm6/RKl4Twn6vJgtB20mDEDxEVFLH9aJthPIkI3e2UFmTP2H
IDa4j3+BBB1jZCw1DPT7cBmnB57IjCO11bwxtCn5aXq3SV+RWh4dxxhAiFDvwFpDPsbBsKZrDMkj
4Z8pXZKnWYXQUBA33GmlDV37qE95e7LAKciT5hbDXTfrBd4lMTK6l1prV8cRCjpk+IfZjJhDI+xc
33l6lAWV3eFR0Su6ehAUnkICiSdSCBxEdIemTWaMvM+8epVqETHdJXuOmhwLicBCtbTlUZTi2SnE
p4m184nhBvWV2WPhRpRTfDvVQvIlyfeigQs8z+AcnswpHa5iHiDJJpeRVuvGIJj8SvanfZC6Ob2K
MOqCBCPKwSwhihNo6F9ZVl7tNDOPs7idD8Y8PZmpZRwgtGjbTEX5AwmwdBXKIf0YhrDd1KOhrZp8
iClVNFYHDFY7asMYWnlldNEK+4cEEN/W2wHux1uualIi3bwYP3NTcB5rK40pY5yTD0nMZLDCsr1d
DXJu3drgUVTVQ1ZnktD2v9g7k+VIkuzK/kp/AC1EbVJV2/TCZzgmxxgANiaIAGDzqDZ/fR+PzKrK
TJJNKSF70RQuSiqnQCAc7qZP77v3XO7SmkcTiLyilug+5wCcq/pjPYZwIqVtv/gBmFIEzSEsVk1S
2HeIrcklMT93h2ab8lXVtKtqkcHTyN1TrRqzLYLA3lhxqS8pKMMUW36N6DVy4szIoeztGaODc9TZ
gxefxmIdmrQ8NBLVGDLZq47jD1xKnxq1dR2xxU5Cezepc5rbyHRfN9UnJXnVKpDWvqQkcVVQTFVn
M1iGYriK2uhqVNXz1PPYgQixgSrNutKeSeMBb+Iju+5tbzMkyr7Ih/qBNN0Bx9BaiSE+zGmZr/2R
zL/PVghq5cQiS/fIPYWhOM6xDotojrnrHfp0vvIa1O/ZlmyE+JIHo6d053URfuR6SbhM9n36piBA
7SwVpddaJdmDw/7r0S+5MVZLghReVPb+X5ZKMDeyut+qrIverTj2rrkCi91CtcG+NIl5+mXO+x31
9Lv//i9Mqb/87f9+/G+FmOK+6Dh4X/9gUjxzrP5Emdp85nHyR77UP37R71kQ9Y3p/ZzngODknv//
74gp+Y2OLzcIMAo6ONM11sy/ZUH0N0jXLi1s57CHkGd36t+yIPrbOTgS4E90udG6vvPPZEGCv1oq
hSaiEXieLV0PF6r+S0ojKX02dYFzNgiy21ohmne4zaLxJR7wfeELfewtfFel20FdjYliXUKRojSr
tqMM6mmavxZZO7wD7kwuwizotwTcfaRhmBVQqzF+cTW+m6QguAX0EtvQWJ8iegQ+wdz+GJkINuMS
WNsmJRsrK6864WsKH0kac4lvbPPdrbzivUKM3Fj0FrBVzrLTXPn3WZUPl7kNSGVy5fiMjCy2Il3Y
OdIDsgnI2z5UVfACwR0oyRiRVMiaaSsta9wLgtXoxg4Dvanhgs7NAxuL+NwFi9u3RqStJyvb9H3X
PHgFCyjEnmIbjYb6hpYwAEVpzb4TwUi+YfIPxgnzLwoayiseefEPLbkAAK3vfvSQpR7T3gHwEIYU
cHkkhjbcK1TCRniy8JHJ0H7LUloWpOdjz2h0cDWiqdK6sACMRp/rpje3SJN6hdAFhYZ2VvFa2awh
RFiPqM+RTa0LCKFrVjTMidgsz+pfbi7jhjzB2tWk3FYLhsvfO5L/qz/s/+3iYb99ul3M5P9+Puz6
M4rf8/f5/V8/Fs6/8LfHQuB8Uz6f4zNkznEFR+XfHgs64LHg4+m3Ax4Bv/2bvz0W5DdcyXz2MY1L
VwGt+8djwQdKJ5CiqBTzA94C6p95LDjuX/zPGoqDp12frJj2+GLeX6z4PfOG9gslDzgHvehAk7Cc
VtrFhHnezMcfNCTnx05OU33hu7JHK5nxFcoRZMsuotToCc9pcQFxhE9uTVPitCoSCzXCH7sJCK8V
u0/YUtDix1HcFudCkBOqm3TXCg8hF1mPTjYKEyvCwmLWTKyC4eliNryrcQrHtN2GXfRofBUKdNK8
W/e9bT1C72ouda/6F7zoXChTHWxtNA7EX30v6KtkeyZu0M8HhIEaDl6GBecnrKd6hLfB1R0tJYqu
sBwFNLB59nLlx+z1zjcDnl19rgmzMteqHv9m4yTOgRw2Dmh/OQ9SM6AKTu81VogJl30+y7sxdoNH
XVFxNNrEQWudB+t0hmHH9Ci2bosKmff0uwGpXnNpdernodIjynJFy+CqwQNnwyM+J66TudhWjnbF
leMwsR1H2Hu4QnKJXFRWXnTVJFQe7kNmKvAfYx5BuSkbWiIMvsB6E1m4DLgfpt2wi+zZwFMZAsu+
W1hiz7dtpGV5x0GEh4FZJARgkFr0WcS1tpeLXhDkPoZ0WMCBooVy2PaATZedC2XhZcjJUNzBUu+c
nY1EqVc0mKJOIDpwAXQXM/S7UJphrzCnf4iKy926qItgf66ke/ZDNL5NRNs3ESLzBZXisrdG9Cny
8ldVO3MpcYV1sCY9vChsqbQEhycicwhBbJEiJAE8QC77YjJjyZ2dZGInKYPAMBim52IYMe4h65sP
txjUAZUgTvbJsCQ21hmwaETP9aOvEBt4clZy3sBe0g+5bZGID5OFJWLibxLT5Q9dNjebntvICiEt
3gPNro5CMflaJiCdn+hj387Bdl7s5TGERIaRj/phKVPQIam1T0pb3MJToprEmDNzKOHGI80thLVw
N2YjWnXnMhDSS8PUSZsl2/6m4J/vSYnkV7Qp6w1fq4XYnhdXLevGbIUXPXnk3dpfcpm20zU7Auxo
c5CkF3OUYUE7o38Lupjw70VA79DWbgMdDq8dP1uOySqEfUhcbwZvQRROrBZrpPmijdlXFOp5ShJc
RzO3G874bROI5blIh+TDd4iPt1rVD2h9hn1ET7czouVeplFDHqHzLnJr6a8xoXxWfV9znZ8dhMsp
7A6ZlaY74htW9lJbo3wYq9nO1nacqTcqgW2zFVgCLkbaC3eY3/oNio7Lke1wXRuafieattkvgRrX
7YTqWWCx3+VE0ddeG+UHLKKwVjrEANYI19IXPRl9A6/NRPkpwud+NHVaHiHfURjoNuG7Nw5h91tA
5X+Oxf8AxmpLLr7/tzPx8r0tGZ2zP5+Jv/2q3+dk/c33HZbdgfz7NPw7itX7RpGsL8jECHie4ND/
PifbDMOceYKzim+AfCf/6m8oVvsbnws7ICAHN9Wxpf5nDkRO4z+lxSTRI1I50iUMJDVgoj8nj6Tx
rVqhfWxJ89HdMt9S/fVla+Q65lYr7O6GKvtqPGyNf3iVfr9T/THTrH+FgP+YU5P0Vju2z8YUIx5/
lr+kcKPYdxe55P1Wcr39pKlerHpOR9ZL/gByzhELoMsEkqy7UgnwtsnUU84lNF5wXJn6y+MBPxHU
6jHtl5nWL5Weq0u8Kw5siITag00U+TgZELL0ycsbqjl7bq071w8JELSYtBc5qKMVdaBGKWBdVuUZ
0pMjR64m2d6OESta6bo/U4Ghi03wjrpbe412jgm9Ke/nouDpFonzB1mgV/Ok8YDD3LsgWIbVBHmE
2nHLpnPIzm6UAZPOtjhFX9HpYxRofr9wnsyeKb+4m/1qm9XpVeqm5jqreSmmgEcuYBYxTyiZCb94
hDi6xk02/HSl5T11ypBDNeAZbxMVtFd+SaWSDc5l5VDIx9PJwYdA6CqlxDWNnhPsuvfSH6YtoQKO
Tax3Nq7IOxoKvU1Ii80LDU9utM5az6IMOqMAzB0sfTtSvPAVTk4woWIDdAZE0gUfXc2lYUvdN87b
NhBPE3En/pIKdrkJaze+NxQfMqZ4Mz6/3CEjsCqIhNOjpeNLpkZUXixYVw7nwtq1fHkzJYV3S68S
HkaOV//UWBB1pWfEVWJAkvX1VJ6maIx6qm1iSKxLg1xFHgk+VE0iZF95/XQ1pLrbseUr12fVcwfL
d7ksp6F+YkhS9HPVxoo2XE6rZwdaLHWmcMPAL421tcfZGVSnyKGTFLJexk0nn/su3AxlU6w9UzM1
DShdBykE4CaM3pwauYPDmgo/coOI+1DYsDfo+Zb/bmzY+Zb2p28xKm8jTEKEFLvgBGaTLbegxNZf
9xgh1z4hpAtohCQXdFml0AMGAW3WMF+T+lLMN1VU+8/+zKpzu6SzDDdyKLGeTh0DCQ3hWFQqRJOL
sDDqXO/q19d9H3dvTenwRsoa8YKFIv4MO1X/5JVJ7k1WBrcq84HBNDOsyG0CoOgFrQtyX9InEV1Y
peutYDYPJ4zJ/C6LE9s46ekOWQNi8d7wR5ujXFI5rUNvIFGZDCn5j9i15y0pH2eHsDo/ONXi3pe2
Bto6wv9buBmeG5QoaZl+km2S0SqNxvpuCO3gzegq/t4mvHpbT7cV3uc8I4IUILkOHSkJxQg8baGk
Te9F1ZknIJi5A02rle9NkjLs1py8G9tuuaBLTIOC9U5jf1omsR/iri6ecbqFd3Jy1QsdVA5pDzcP
rY0zgvqKqCZlKreHjH6xEkG/ko23NXNPTDYi5Eeon05eszFuX7i7JNZdyusOA2kjJ+VwKac3dRsL
EuJ2POBvQNK1AUFgE6GNZBj2cRa392y9G4ilkcgvF8Aq9tkFxVMkw3kFeC8frdu55gawtjOdPcOn
BUwvBGYVmocUqDPR0hwLkaM4LM25rYXgh6JVd3AUdM6EP4+khp5PfKrTk0W/+8nplE/HXuCTTlxK
e7xLMEc/8yPFDFvLgiFT13IberJ9oHg03ni1NxKd8ou7nJEHmqiRclXLqXlxDacJDzMxv47c6N54
mPMTxaRpcW1QNukHlHmLXNsQpRlVPDXQMksXdJvzIe9c/Gt8pxZ+wD6SM6Y5nQZUTw8lj4UhpM1t
A8FyuBk7lI5ctJQ6Lbg+DRHsgK0zgHPnNenM4K+j3vfxathWyWKLxcp1GmDpps+kftJoFUgK4aD0
Fiyj9zLibfhoogX/TRGfFwoJPAxWn9R0k0bJ48VnQ93O0YUdYnIDmetmN2wNRHyqBEmILVda91gN
Mor3Jne74DhTacUw2dt8utoKVOqG/KT1PsKNDteI8y1db04Z7kzJxpj1ucL35DbQCWkDRaChxNvy
1rxxWjZqrNGwU1cgNAkL4bjF70jVjJx9w38CgT1eTS3ee7z9Bb9EL8cgHep17ejwmndS+6bIXlxb
WaueWe0UxwHnxuWCTGpxzsn8IOOZEzQr+/l7oW0eepFOxhuy85o+RIi5T5QL0rJNN3bTrEAhqI+q
lPJhOhf+JOh1eBMQp0lJ9Kr9mvsBFrR063idkHbcDkhDN7oYbdzjWGlcgkXfyyo6x0l0laxTxbET
yfMNTZbLZeHAp7QUzavkk4jX8J2/E4i56cc4XPVK+PNqYfz6QVFFfuPR0DpuqbkCT4sBnQpmp/aV
OITRLEa6oXT4LqKZdWwvubJccafJ6UCUQ/ydoJ7gB33uW0bBnriL1DZ/timM5xd3ceUjj9/6NLHK
20diml8rzucr6UQTsYDcQeXrp4ByNUMOiMpsqOLrIQUexz2P/g8SDRn2JfhO7dvYc5UnuTNASQqd
k1CGwMo8WmvNlerJ54P0E409xMCD33Q3VfneYcFdr3WFlwdeadd+LCzhwY81RvnrgMUoflojnbvE
a3pEPbvnRupk+VXDFu/VpzTxC5piEXORaNh+ApKkb7tPY2773A8nx7tYJo8cSxWF+mXGfP3O6ZLc
sYaIJx5byJ+w4nrK5DdVVxPN49qdqVsBLK1Zs93yJlYilCWvIdV6WAB6fzO5ueFDwFVtMlb63lBh
c1MN1Xc81GxaWzLRcWpT1F0YKgMZDKAQ952lhss59iTbLTce1w1UPXrEQy/d1fFEYqnglbB/8cp7
GqfwKzr6Z+N07mUZSw0dWNlRC3M0MAec0fKq92xqySCfZxMMdAipQU5AnbfZNnAMiSzbYUjAHqi6
L4BqGL6bXg391kt8hBBXRuGuH86sdY3r1mxiSIR8Ol1g2ORqCLSwm+HuuBU6BTALbNeqLvvB876P
XcM7qsCsziCUA3j32BIfWoj85GQWzXHJAW9/tRneP57TefSStCUmIav3plv5Cx0v0D+2cQIaZoVT
1ybLPBXzMWkS60eYtL2mXQgyKrYhLda1n3VvbkN2CZ0EvnVkyUquXTOnRFZcngLBr2YBGwP/Q6lr
0jLRQH0xB9UyPnGxFhzGBLoMRDNE+hVvASSoDPZWdD27wr0Xv1D5+Uhz5CpZ8qYljkmaoZOO+iAR
jw/Pw5sVZPmmbepg7Xbw9kmhxd/HyTmnXRYmtjaMwYmSxlgNYm5xtyNWrOFFwErugPjPdlS/Cn9d
dn7J0pyetzSgMTPqdLHzEsJMBPLJ9y41v9m5B6A/NwJEkm6AgqQZifuzLDGVhyjwpxRTjfbAJFrW
dixKvXNMm29VEHocuUN4AlLI3lvhKtjptvgZLI79nXei+zUmJt1ClXP5hFUqOCFgtVdpPI0oH2mu
7hd7Tqqt6IL4wZrt4trpR14/PhTP9DzzuKIKcyn32qTz99BD1Ta/ahGSxZ/mTU/Vgb2is77/YgPe
//RivCDUd51bFSqXO/i64Hbz5WqktvXCHorAGAr+qjKOh43CnVcEbYjxRg7vQvyOYxlv7H4evxIL
t1S9NFB+Fx4qq7oM6x686rnnISwjHHYhYH/n0HvuRGlhNs1HjzciQ++5JQJcICC/LCYW7HvsdznG
yia/KZjmiw0g60Fc+G3ebiNbJg/wb637al4wVCqMuWSbFo0VDtLE6OhxXQUp0B+/6UdBsa0kUJSH
A+f9THkNb2IZPFbhsLggF2YmQQ7KvAGLAKsZbnoDrTrC3kiqqKZPe2N5My+t8qonu4PyCMEmg7CU
1eJyWqZ42HaGRkcsYCb/Pvc6MATK+vgTjDzmy+ZXQUdpFYyINgUP3SoanepZ9G7+OBqhPxzyPIdx
nlFlgSOULyU3Y+rO3TZ9TzHfiR3XWP92nDM65lyrzCmx/VUVEp1bQwJ6aojllfSebIYxhHmoPUxA
HMNVc4c5nLLfruBtiIEQxznkWa45xmvFyVFJY1/mmsbP3dx64lGVrYv9Mf8sFzhjZ/gi7IjWVqFc
DYWVRgdfRjDuW1p3q25ghIy7MdDHhBrlY9hisOWx7GcXXeq3J8MeGQ9URjG271HkvBqmOt0n0NUu
Rh0RBLOq9EMqI1o8FgnFpUHr3xGeuoQQL1ZjU10UjrPcTHFGeEsWm47L15aGYFagXr5PKlxcwBOd
1ejIW8MH4DaBu4UzvAMLnZM3rRTjR0sxSIxI2GVwmFgyYXtON6AE+hUWb0HavU32ZWOXd9jui1Mx
t1AebKZGUolzG/LbzF5+VcExByDIXUTNyOjzlMpbNodmh6fjQHzZXqfMl5HJxlMpW/EsygL+sCdw
phSt+V6SHVl3CWjxgWqaLS23884H9qpiaxqhR/aStN4UXOD09ELmEyeiKgV4/SYIG1Dq6M84dRK9
bEWblzfkQYLjMpATWFdhQNaIh/enNmrfkCX5Ii+ZnaKB3Xk3lMErnaj6qPCZvTiNjD40B+ha8QIB
dqKvr/N6fHV1EhJs4Ctm1mlheaHwj9Q4yAYE9EfkYcEOISTUMtJv+OgWMY6tsOxpDLHqg5Lx8FRT
5/cW9gK4oSNm62voVWne3Ixr0BnWTutlGWqx7NuUOB9PUmfadOf4Mq1ddf5h2V17NRPHTlZDHHCA
pZMtmAZqMIw7itsBjbIMuGPbqtOdrZETe38cuOOIGj9SjyWW3YTNpLDJzmcmASvosW5NNJs4gEtZ
JjOSOda/Hjsd39prJz2sXzBIIPJOQCZDHv/O4h/8gmsCarZLotGpDFJ4rXpMum5py7eOYMtn7cM2
3nhOkM0bbXRwEQzBFBwALphoTZCOIXp0c/mpI/w/CUrOpRnNeANwDVqyEDGDaW+nxB0KD16LR+09
cT+vOnS96957nRhYVmrBIzHUeIojUi/AR2qDUysp1OzvEywfNSxNaiNWQGfFFdBZvKvduQSh03E7
7yi/635i/NDd/pec9T/66H+gjwIscoUjBcqm5C8ceHp/0AH/lang6v3jPYv/uD78N7/Ab8IpHVbn
5LgrbdgJLp4BNNDfhVPnm49mioKIfOrClvy7buqqb0IBnhKux6oQfv8/Fomug19B8WTH/ROA5vX+
qUWi9s+Lwn/ol9ZZfEWT5H9/VkxhH1SZnXXxIR9VsWMPEeDZoZszWGtSj+cNGJcfZZXAeVwcaKLz
1ZEFV8wjQXL94U4I2xXnnl9s1JS3z74V9jekcefnOi0CYhiJLusdpuKM0W1sgvuiTs2dyoQ3rVXK
ScJxQFqLB1MUWfSw4sbbGlcQSTFEf6IfgyZega0ZOjkpLfeY02X0PoRz+QPotm+2FETVezz9LWqM
nwSYjAaQlhyuUr6xpeHC6lbBNO9n0QkBmA/v9wX8IsJorBg86mdrG8NgqmVyxy7Pj9bp0jaPPpe/
BwgJE6UcPVbOaW7lqzNnxWma7NkCo+xkpC/SJccCNjdEJ5hyBRHUOaNEFvZCssbboO4n6hUYbFJ3
+JmSXuD6W3hHemuie98ivNDoxHlw/LT/LsjynVi3FvcAe+Xe6rzg4OX1sh8ont0SNVPh1YDuvWEk
a2BNyWkD6g1WJypN0aNV9vHPYJz4OWIroEUnd+TQo1KOy2VtSSbLcJgeIK4sn8lYMHaFUd28LiRO
b+Efp3Q2mZQsU+Gl0ZPyeA7jXyq6U1yTXOQknMisTjVKQx/Nwz7Lk4iSWlZVT8qW1nPDojlfyVGJ
J7xQMe0lsiG4TUhWnLSMYcnbI3XzC8lytLMsgtEcmRPERIugcV0WalvUYXCZull3lZZxyyXIbcuD
SpvEXHjYnJEAcAS+FV5mtRvf681nhEPr0R+qcVwZrwu5B6F+rnHb6euqboH4ExAAWUi3FRXTTWqC
W6rJ82bbYfICvxJwNwANQzD/elwUsST2kueSs6G03F3hLeqzTCm3JXLc+Djz05K2HNnABcE3WsA0
6Py2fkPbiV+EU1Mfdp78bwt/glzBpwbjMheVYiSspiAu8MKi+SbeL8750PN9uvxG04aOi/ge2E0D
ccbI6KUwbviVpLWaz87F8BNCanfQadPbP2lQYZSMW2kPZFJCXPv8Xl21UyCpqhO7XfuqD+Kzkprn
WEpHwow9pQZbq637ciO44f7sjWOsK9tKqmw79H3w5hHmTE9dPECV8KbQv0jHuXhqSAB9zP6SvE5R
RsauDUK6BWh/zNfA+/1dKiyyVZ5djhd1rBja41Si7yeWhOHgMLkzj1dZR0k9TBMaO8UM9n+Z9Wcw
tNLZZCagvkjl6PgDuY87GobMxSAHM4Dx7KcHCzrFDyZD8z3FG3jjTcuy83vTVWhfE3VqdRsMdxBK
zPex9Zlw/bG6XBYbIkuuBNhondZQc4ZwILUakHKxqtjbOqRWeC2Kc0k3F4r6+wwZ87K0Mx9LYCqN
S0zSqzBBRBNZs5Bou8+7clzlYNcogPHRGRFRyB2bauCyRjERW92e4A1Hb3edZ2esTLDEeleR9g23
OdPvvsELvLfrXFyomigAGM3efm1JOXx0Fj1ZW6cT8zV7UOu6V3F0HcBQJ1lVeYoUW508DMPZyJkP
0r4Qo1wOngnb+0SPw62JHInxfCytTVT15ct5C002fIx3JgxDMmY8ctbnxu4d81cOdTqomWZJkpWI
kTp9Izlf3aY58EbTRNhRg2m66M+V3z2RaA1TI8aVmGWVS0c45O+aVVEd06Y1cj2uqzp7ReBwxiO7
I3Yq/qRYhWjRPfHTmYaVwHt860KzWg9518xHy59Gsxq1cQPst2kFgM0ifi6My+I7zNPqR44r5ZHJ
lDdhI3qyftHYpG925dUvfjOOwappWiRbp/c6f+dJ1Pt1laVZSXymBeLt1KJ+pgw7ze4dXRUdPxKX
hw4W/GbDxUk4l3GK5LZhL20vW5V01rSS9TxMhzOilQgCCTz3tm7q9jpamLdWI5erbKPY/dy0jcp/
THEUf8UWF4XaiOQxckiCr4IcS8hKoWDt0wYT6zqPKrUNEa1qXB4qOXiQ7qONVTXTEUlrilfuHObH
fhwkRVc4rs2agZyUTeoMZmNHMPSo2Z5OY924y8aarYxQUiwu7A5vwKD63FtPJNGmXeO66RWyj+Uz
s3bugaE43g/TbdtPC1RZQJzExgw9LUDQWQAUBakkOtYExhpZpD+Y3MutyN3LcUpG/Oc55Uiriu/w
rq4UHr5c09VoMXGsoxno9MrQJ89GZhTJJupUdTwDZavvrL4apJvOcB/Q+87kuHxnO3/lYhlcdmc9
Ps0aUoFxGeTHGOo+Mb+0bTIsGqHPRW1ZSp5DPkA3m16r6c45N/5pMSwfOacBB3VCw3yZ60uaqab1
XISa7Kvp7suwH6ijyCmZijr36AbyHfyR3CxwKA7L6OJ+6ox5cimtIahCzgofJGmVDnPnZ5MEIXAE
zDSnnrT5LsvHflovStdHO+yKraQ3g/ogm7wYiTkqMkdIeFeL23RXZVRxNxtCgB8+D/JtOsLMg+4Y
VTPbApuuvE7aYbaOkbLpt5jZ0cIsyi6WBFuQk3r5ceKtdqVRzC+XIPEu+7jXwFHq3rwEvM82xi/1
TzmHDsSq0mtuvSLX9wj46pB2XWmvvTpkCzpZzkfAG2ZDr0l516QBG698STx08Mg7CL+rn0QpyAb3
/PgJTsYvBYYNBHAnW7hRSNbAtkrVTQkm6aeddGzy2mCsiLN19VvHcoUmFTyljWPMT1ik9UniGrsu
IVNwicvS6Mb4Rm3dipDACFSKtvW8dqk3hY35ViwucTgiAdOT9OB/kSYuos8Q3sltEVruVdrXqlij
9hB6GOvO5gDFc/IKYk9t1dDoB8s7a2iNCKNXhRZEMiQZpjcLNYYmHg+BOO3S6bkOUrmPda1uz6bb
Y0BF2Bffb3tSkZl/BEufkOtl88R4hjO8XuGO7x7p9GX9mZrRTzduRD/cSvrzDN6m1TtuWePz4km5
YwNevAcgRhFWuNjjWDLh2K3CtiuRChuX6D1PvStqxfAREOlu75LWJcHC/okajo5OJSQaAN9EEvq4
TY4EOHtoMF2LOwtgHcEtHUwy3+V2bN9A+/S+O2ocopVjyN/sEvYe9nlTErG2cFp9mURqQZXzJtMh
8QTtOaknFnfdc68P1uE8tq9jl7TphsQPmXIk0fAaNIdbbfxOxhe8Q4JlXTlJ9x6xdkU0gT57nw2K
19/gaGcXWKQ9vZ5F/kxbVnNfNzm24Zb70H2Kb3gz2ENE1kqoy8T4+taeevGZ2I0GFwUdztly7pY8
AJ0+Z5uhW/9hRvaNaV9hJFiNrYlLqleXOtnYFleYEw5FuofGwfcOsI4q1mSZV+NAG0okrIqjYrh2
EgNXkZ8CuOgpqNRe2p2+z3MHKuQSjHpZkdvxvlK2c0BIscQ9gZia3xNtiQ+t874/VOPCSZ61bdcz
rKZliZTeTPU6p1RlS5Uo+SAvj75wLCf33UJRyhzUdrJjxoQR4mlaB1XV3vW6NJtWtTyiSqPlbmZq
SzfeZDvbIEY0BFCXsaqWJnwPiHahTDNibJl6WQS25Kzz7VTLc88FEfKvvC8WZrS+vQgW/uCrBbvZ
joX+tG2xyNCKyblMteyEgt+konp3ifw4p3SI8m044OPk7yYWGDnFOmVNjn8FOIo2K95VzjosmvgU
5hnFNZmObjNRFGhVki0mNyAH9EPrjgjc0OHr6ClNPL4nu3Xr53pU2myaADM0zA7nvnUhuTDqZHKT
hw26bWotGwUIYNsCiTl0LgQQCe47WoeCCRCMdys2EZFsspKC92KdZGT7RURAN7daymMXdhOTvSx0
L9lAUD06PfahVajpmiiW9TiAVQJmGxv/IlLkCTnaWZvt8dWFx4r39M+ZHsWOWcWO7jm56cajNyW4
1GFF5VF3XubR3ujuKVTv1wOQvJ3iDNlGpKigdVAxgplULRdeSmTIEgquIqIY3nHTX/NNe0fPdcQL
c0CzhZhU7igfcy0+NPkZqAugYxUMTc7qDyjPlGb9PUYMCKyFm6PKhPhPVyXlVHcQhvOtXQeopb4O
/EtROIxTfhZuHRn+YE4N9pg/8i1l1GYLUyJ6c9qi+zFjm3LpK7LDcww5eyOUpM7pWIMnxivS41hZ
+X6xwFLMUTc9ThObgrizX3HGxnd+0vK5dCZVUnDlT1AZhvHg1Xl0KWWd8brL5KjjnD6pCejdHmKA
871pF3aMVVKR804sFv4xfo9opTwPI0AXpUyzWSJ++DxigPQQYMv44BiwCDlli4PL5bgdIGpRkZl2
mwgS0kVF9JNtfpFUjxUUOmBclTzRYuM9EDN0L5Q01qkyvrsd4YDMK5pshkeW/PgCePIS0YxQRNU0
xI989MLXWDoLj7awr8/2CGAYph8wC+SlKG5KSrWObhjLE35bpLSGWH2ycqXIrn3L7Q8x1WY3ibNM
miVDmt621O7NG18U1iYWvcJCEs1mE/Zp9zA7efKECDycAqwqP/ns2ic7boPPxsRm1wYp6SbpzEj/
1uhR3ddVTPV2ll7AWUivlRB4YcSAllF0PK/AUTqkVHWRXlCDF2/6ErBECCRjlQXWdOHUkgrf3Jsu
rZw/bKb4ImBGS4R70kGUDOVu/73lqDujrZp8JwQ4kERgXoVkrR+7uLfg/va1YyDvjXLXZLBYYteZ
rivsV/b6PLlgU1Bx+WgXNj5Nb0hPled8KS6DnMrsLgxyp9Vdzd6kns/H53bIWJjf5+yIniWHMj/L
pakIpA5V95F5VLf+C5dzIFOlmx/c2Weiydtp2lAMQvCUOIh/u3Ck9Js8SFkT/T+RGv8/qqZxIf2j
0/37wYPH9yLJ/9fN+0f/R+nw91/2D7HQP+t7TsAThEoD5LrfxUL5zbGxikgESjyW7lkS/D12YLvf
gK4HQghmX0U5DR5E81vhvUZH9B1+FS31ECCYj/4zLksFx0oD5XfIHQhHOH9h1bc0QvYSU+E2ieqT
HSInZVaDPIPhrqUC0Oqyo2em5dAbLrV/eKX+DaMl4ak/CZUkHIRQRCccXhO0Uv6gfxYsCeSAelZ0
PNkYmA9hJ5lUOrI57cRztGMpQGo8dTDaDfG+Bzhw1VW2+FnOGMCDeorpC+88g561LNPN4GtSssvk
X5btMiEnJO6xaUHyJa3BsJ4YzSOQuCdsb9R5euL4aLe1ugPo5WfXdQGMsZHyEUpQsObOyBdEy6wJ
u472rQe9T7B1NdfkqMBIJFkHQqFbdufaVuKtdFjeKCqJH23R8KisC3e5+z/snddy3Ui2bX/l/ABO
AAl/HrfDNnSiF18QFEXCJ4BM+K+/A+prqlQdVdHv96ErOkKiNjdM5sq15hwTGY+4EoE2Hn0EDVtA
Z4BJbRAcq6T2OilMGWWANdnPUXUxZSw5WSFOSkuvj8RsupcQt3+0xurBAHEcOMzKMEgdY/ZUHB2/
FVfrckSBY2T9eDKAp9mXNiajLHJ8O46SjNVXESyJmgf/5VuA7MHeFqIR9yBP0HpAKlzZMQZXjYHw
cR5yfdUlyoAHBIr5G9EmA8GSs/ldOlqjVUUVOW/NRfKjEKPG1xHMD+iIYKwepK1f+tZw90MsVn1A
dwmkcwkJtDuiryRYRAUZp2vjzevN8NpEl0CB0tN6KXvdi01R5AR+IbafsPZX03TTN+3CzSqKyxBM
VVSmXhGJYBXz521QX0nsdae0hEuHHWJ8xBiQA+sfkx1ShuWgdWDsl57bra3CfGd2jA5WNhpWvF9N
UWGEt3QIxyu2y+RQNKq5tjmj1wLkJWcdOp6+oYOj1TG9D3lzkJ50vXU1Z2PabOFM+XSKQY0dGqPk
9sO+JLe7cdb6h3LFEESRE+q787pevzBwDV78ojCvG9Z9NSXuJbBa1PHrc96xR25bRNjX9qzCx4Fk
6E1a9d1uZGq0t004N24VNgjCWnL7uIP60RdweDcumXsPAbJga0cT2UX0MoeGTnd4ri2OBDob3/Kg
t61D4wWC2XlvSmwXmkDGfWqNbnFwloVzvT0KZzhUWbbcBNK3f0gn7lCpSBQsft5hh2UO8DDasf+5
0Ch58EcdPnWdBus4s6295ZmYrhDzOo924ZkEA9RT6984cGuJhZ+GWu3iAafJwTKMNsJUlQP0o16h
nCzapD7ROR5/NPMEDG7IhbjKFeCJtyDQc7T47rzF3Mm5Oly8/IeeVHk3VnmxIxW3fNSZcI+ypvEv
M/cYkHKzdNApKjWNJIza9hftm+YnQTj5cU7c7LotSMkgyhMVZtwskstpDzdeiKnSdDNIlP1kdU/e
KMKPPLbjk1F7dG2IXNhKPY4EeurKPRYmAJod0m59DSAj3c+2VC92TA+67EfrxqwX9z1eBnkg8yD7
Esic9niF5L1khvtAoIn1Tg/Pu7P6pY/iNOYSToF+otlUR0w4zKtuSqrXNHfbZ2aY9hO8aecEjX0V
EM8ofYmGIFWv74sxarQucVDRA9VbWlyW+qDul8kltVVCbZuXgfMkKBLRTPKTr2qJoxgA5lccE31x
dGazX/YWueHLUYzGAhkNG8keZv8hmFNUIQCbKiJIejWZ28RsoSqiNgE8bxlYhia8KO88aROQCSRs
LEgY+oFSMqjZU+ChTEiBeVHEN+BJdzaqVEIAWz+86hqQoYs9W9jhHVAHK8EvOMVtYL0xOaGLo5bh
1Jp+/KJtYrFJ4RpGY5fLMTP2cQw4/gL5Kn5PUdb56E/C8QKGe0RlKDtqQ6GyeEdoBBhYhI16C11p
2McJilyZT81Np1ItzuRIhrCh5++o4qSAZsCFAZdgPEjSnD6hxQwnvXD4G32BYsvs8ZFu5mHu2p03
V/KVhx+dSrUw096i5AjtqIg7NE+920IraukFjlvYvB3kBRovSCfGxvo+NQOijg6a+oEGoES53Lfd
d0OO2sEfTtuAqbX52mb44c12ER9ZD2vJdpZwF4JTPZByrW/hRIc/NVjkG7Mldjay3c6U6FCWeNmW
S1xHczKhQeWvZZcW0VsNEsC3H5HvA/caHV56eoKwcuZc8QtUxcLEpkqXEbGClSOITQpO4TjyClqM
S++wXtDgh+VeFzPYhjhxe9ihHhbEQ/BLjF55NcJ0Ohd6h5OxfmbriYlxzxFYbutVz16syvZCoXHn
liG+WnXv9Pmmq3bVwmcJghe6mCjkgW2hXytT2+iwDlQSCDKnQHfV1Terwt5atfaa1Pd0H1a+fZsP
A4Fdqyo/aQVJYLMaWU2X9EL+woiWuc/UBgdnLrcQqFfT2Kr1BwaO7H/8ZQFwUI2sLzrRmkunxD4h
5+knxkCeW4KzMBHURai/FJHht8svkwFHBeMAcYlKKFxdCJVDYkNg1h15GnVk01K7S1frwkKP6dnq
GIPUq7EhhrmD4jmFB4R23d2mqwVC03q+RQfPaytWi0S5miWG1TaR/nJQgFRBZmOlpMhvA9NmkOq4
6jpYUir/FbE8sCH3LZnQuPmoIET6OKyGjQEJm48rAAaQ+GXoIB+TQcvq8hh9I7ufOrSVM/qESwoQ
CWoeXPO6vCefDzhuvVhbarJDtppIKGA/4Bm7uxF/SbEaTarVcsJAls/jB70D3Aj/3NUj5pTCExgK
m/TgNCBbgHXL4G5MUWxtPA1ue1f8crrUHjl1ZJgHr+xyI/I0HirqIAqhr2q1ykCFwzUTrAYaTwB1
3CCjx1czDvxCJ5FWNFWYaXLa1b36RAKEMoLWTvdBkB16ieqXdmJYZRT+KqgofmkraGutOotfmoty
cCV8TgSe40lmXsM/DeC4QzfYywfHmduLnruFzkPpEKLgJy77YdNn/UvnavEytiYyP+jKjG4oVTw6
wzDYNmYQONk+b03vY2kK/5tDPvMzbAzEue2QFecksBu05bQ5sr3SZv3UJpWe9tY48D5VcxjetbpZ
bgpTDUclfecRY2CInFzksKm84JVUB0wCk9WXdNYCD1FZDL8EaSYUdW4eCzhjCTwGGNPdQn2GhcjS
w7CICiXcmM8PSOVp9lOxC8b1c266R3Oq1VVvhKnez0ldX6V51Xx1aNtY4nOLQQ/3xWFd1aliLugx
C4CfObrkkrRjOd7KyvFKcMMGQye6vsOydxJjJjgbtYvcke/DXW/mhQuUF2FW7goKYvfAOFQ8DCpW
xrnHhmIyjhViODNMHoIDuiiKDgImzv3glwFljzlRAYO4R9LoFOcG44OmWhPBI6BC8eKnpvfCS50P
Z8tR9qVCRXy1sOgw/WSpeJpBVcnLRF5Di2hphH1ZTCuVL8hCRclK+vNlkaXxHhhtNu0gSNJ38U3K
KJSGQDm2gpPDcEAbjUmCexKqczrH8QvygvxZzURZXy1p5wUntxuTU1krKPaqNT5NC/R8EVtevTHZ
VU7zRFcUvmqav9ojGl1OCUb3wt1urtHGAvFbKrvDub1wBNGluCwO6uLQjbsr6J9lRqZKXY8M8bhP
/BKwgDxnummAzaU7xoqxxqKA+WPXhK37CEaLXuA/nMesFTzx/3QjHMdcwubAnKBCoYnsOBxH/5gy
KEXf9WXmdPCnTfpDXUJyiXxorebVDiu0DZKN1U+ZcujsjQih5dvfnwcRzfzl43EpBQ7VnelgMPzz
xxexFogcDPKQY91ujKWRV1z88vL3n/LrRPv7t1ztjsh0+BwX1/6fvuWsF1K/F6cnP6LjTDiQ8EzY
hW0ERyddaLMWQ1Ph4QnJmYfWZAjcOKhbNxbpYK/WNLun2SDPxmuq7r7A33a9XjIMYaa4McZmfhWC
gwLAyURue/ZFPPamV8f/StL7/6KufxB1obiy/rYf8/Kpu//afMrkvfxTQ+ZfP/e/ORAmSAd6Dw56
LLSHf2jIBO5/06WxEfeHiMf4L4/g/+FA+P8tyGWlSUKag1jP6P+3ISOwvYKjF4Fv+qTl+c5/hIf5
SxpdGNjrdArKDPZatsM/P56+YyQoL5jGqrQvDi1S1M2QeNmOYLoAfup8+vvXwVoD/P74Oni0pOBh
0EviioR8kT9/Xi4m6HBm6EdWoZMoEUX+6QB0+jZYstmTwYLRP154H3v+FkLveQhQGqRu/7ygst2O
g7CfCgDmw+4ffq/fe0Pr7yVwXTrm2uxy/d9MuCGLjEN5BsZBlG8dWNWdhUZq46P3FDT/w3DBKM/w
/hBnJe6P+dpVvfkfRnCuv4NtucJESGjRIvvtdygC7B5T3gdRk0HQiAsNQdmiX/73X/Xf3HGHr+oG
YEZox4Xrn/8h3NXnImOdyYPIrtGyFiPZOegOxoyxJ/rU8R8uLM/p7/fbtWlEc8dd4fAg/fnTlFCW
OaHLjULpe4cpgNnBTFf8w6esW8VvTxVJ1zQWQzKn10bDnz9FxIXVjm7sRy7BT5sWhy0pPP39UGUf
//HFQ0DsIank+wSe99sH4Qfhiq6Pb5yhCUTpjvFiISXTlnd2XvxDsue/uVMcGFbBJ/W36Zq/fdjU
o8v3teNHYOvNLZl7KCNQD+5gxpZbtOXHv/9uYr0Xv19FYQXkJ7MisE79dq8yK3AW5ScoxA1qQDXU
IUi02Lxn9OydakQBu0a23gEpvzgudU46iFnFP7ySwKxRTu19zkA3guU67OjSoKwz3ZYUFzsod667
LHedaCrGNYg72hOn6VVrVJFMoJqF80FNIbVtusXa9S6jn42Ze98Ug8l/2PStf/Oeh0C3MEyarMV/
eR5HbKKjCxE6SmQqTrlrBKd5cM2tP7hPxiwPTY6sTKrky7cBrzqiEI9j4gT/cKn/3fMKckc4cHyY
3P3O3kEa4Ug3LsOoLHvnRMTZjTS9cIOe3fvXkORj+p/ks7771937I17gr59EV5/9A3BMgMjz93ua
NmtnJw+DyI+zajutPmacm28ap+7+7x8fnsy/PrBrU58ZA6n3wIt+/fkflpYWYIfhCywGTki+ejEY
2VGx4t8J05vuPYMHQSAUSbCDkQrVoZbqArPdxvRLKaLraTyGGjDn7FOPMtBzvYeebI530CDBcfRo
E5Is0M8Poe6cq64b6kuRgrSXKp05AVt9Ph1KOqhbBFtwMSu/P5nhHBwbLHmHUMk5MloQo0oRC2C7
KrT4iyZWNxezeByNHTDNhEij657WGNGN1gTkFnXlPhkmgZQKRGlsVvk7Cqbq5AzhiByKHKYZMcGG
xBH/VLSd/wpa3rnl1J8dF+1o0q7NEh2d8s6BKWLG2ITtFp29LzElnlIGs/TF0bTUU988OkI1r6KX
zTsiNOxjKdZ1OrFtvCWlGFqqHOaDDGV5ZOSXPxhm094GZkXfcqIFRprdtMA8G+32tZmG+BpMbPyc
hgjdhqpFJDSu6DN4kN9BtLzIUkB4K+g+khuisKgoBgpVumNCfbQdozpCNiUhTA2JuLesgAk2EV7B
xXRsfbtwKsTbRoKbblUR8XVwdg4cy2hQwltb8Z50W7IVNwNq/SrsQ25mVvQrg1XEvb/tOReRMDMO
n5RMXJPRJhEwJbe2Lnvrpu1iZhOuLfoTulr9Ymk5PLvID9td5Taagagyw2fKtplBiAy7p6CsHPIJ
TEi8bYuSwnMdfKMeLCUmpciXkqCJt+3C1r8pEk7naNecuifsMQDmlMBJlgH3WyB9U2CmNK1Vr8BT
wb1lERrw8ziN635PoUhcfEZL3+20NdHqojW6HZLWxDwycJTAQWlyrGfxQC2hHDTfnKHH8HnUKASe
bZs26kAqz0fr5nwHP3Z54kNmIA8lpB+NRHWE8kyJg1BObUsU919LYs/MQTB5JTuzIzoqCkRDeA3a
gvlKAGY4L+isauwj0OTiVaSVxpMXiYUCByu3qH54tgtTGQyQsQsd1Z4UnS1iKoueuCITgA6xLsij
nASBZW0samsWVbULZHxT9BMGLrvGLTJJi983HZWNXjfovIxEV4/YX2ZDy5UYFZNgqz2noasuSSer
B1uO3bbI5gOK+JSwwnDaZxkpCZrf7TgaNezqtguP+BYq7u8EmsSbeD7KhekTw6gePVWdWM+DHfgX
e24/awvNetZjvlIYtd/CGJ4iBardngyLFFt8r4Ip09ATvLa4Y2TQjdu1ZcHVh415HfSEY9BBTk+p
VAHfFaOxrbPq3VRJfpMDBDgGtop/gj93Y+xD4/htyJnUldziB1i+5hHdSbkfZwaCBtoRh1JUfQwu
KbMi1PMxHI0qUpp8M/wG1oFWmoGrNzwgU5ivp8VyLkRM5CSBQedTfe5shubMlCC46DpoaUQuRK1p
nQTbOI+f0Mc7l1aBMSFiTVxQI4WIlDz7SSxuty+TxEa1HCtG7BiQj8J062Naddl+cjNeBTIazllh
DTuIV8MOVUl6SZrhNQhwXgQ1Mk52vXkz9sidVLzIaxKRV4e4My67msBQ/KgqJzzFKPOt0yO3nWhh
40xYbrTdpntEzMuDaH193SxF9mOCVbYxDZFv2eazqG2L6U4jqT/lZPW8km6ZbPpiCZ8gSCz7Sc3G
jiyY5ToJ89cel0hU6zUHQsaI7T2USNW9aRblqUor7zT2NhKoIkdoADSiJHviUNve+MmAo2N21xQV
Sam9Yb1OYWtfOyWakzilPdzkqL9GE7CiM1tElNlOAtwhJQ239MFYlvV4qJ2QcGyr40BheYxalRru
Y93I7KAcHyR7t+DclcbX5DHbGH33kSJpifqWPo9b8yp7lhlZlueuYUXWNTks35pMXdk5oWK+ZTQI
j4SK4li+W3UN/4JvbquCBQgjCdygaUNDdpdmi7OfBNlKdj/aN+3Yx/fSjKu9j8H/gvX32qkHuQsD
A46/7U2HcezbN+x7tAxnhm/evNx5RB0d0JLiqvSm0XuVPnp98t5mtIhxYdPRTcjMcKQxUlbNsnmi
LkMrCyD8yAA5jhQJaFuLxeYmq8gLsVojfEj5vojMx4EYXLw4K6C+wiiilzanUVz2tb/z2zo2GfSo
YiDOjyuyYUzh35Uw/Up2q0W9DGC0fwhDxHBH6GuBJMsZPR08UNTbTi9fs8iYiGVeQbu4f69AtJ/4
5xZ0tmRZ546C4+mGQMDn8p61f4d9xbrhJQQJljNPFXZYfBem3Z4FgY4bxlskdc8j00ZIyIcsA0YH
2InXeFQXJlHYJkvneRDMjJLQeLIJPsPdLdo7vCPBQS9xTupSakl6kd7Ik1toWma+0z5g8nrwM90e
a1LyNgxHzCNk1PwMVZ6oxrYHTsAsjVW+l8wa6flEQytElNSlF7GkMESiE7u6M8srUnTFHd7FbCfN
VH6vA0fvW1K2Yjyi6AZYLSYd1l9sSDR5gf8fF88cnhIQlQQnTO74qcrFdTY1PtEdk21a40sI+Bmb
wMEwgpp5JIm2OL+/aiHq8zTG1oNthe1BmfNdpobiPC8uPcLQxnZtWcbwjJwn+XKXAt8I9+a2DWZc
Bm4Lt5rEgPvFLUlbqOKfKmz7G0sayaEk1/fsBflq18/74jhhKorI5oSCTUzGvqvMby3mgK22UwF3
eJgOS4y5n1zIRJ7J8DBBUQjzYNl9B5AVciR87OLiMAFBXl312bidClJEerqRH2IS5WUF4XcH2XFF
Qi8vo1iG1slJawwcqXcpnP51JnTwmgHwzYS07qdbNT3THhuSk1Wuugdx09uMtMNY63dbe25Ume1w
qtw5KmrjWcZzUaxe/GTfylie67jK92kDRTHpveoJIUh3A3+ujkw2wSN2/bNkZvPkkHe2keQYIH8c
1M9Wjgs7N0XBRmQAP5C2jbtGsDbD805ufEyk32C7EDZqYioJKoEwyzbpsdPIGO6mVL0068CrNvqr
VAyA7uZxX6es2wvRPEx5Se6qpwCfa42LKySbb2X16KXxr8ViEf1GVs43CntXIZOLd9iVac6SfSQ2
1STxNBjZofEhLRWIV7zsyNC4O5X9zMSK4eQRITZsTWtgF7Yn59hl7hKV5Lj1oX/QtUv6szejlyOE
MDiTUp/vBBiSI/7zYTKqXdtDJOIItZMwgSJKeeLnEkayXprHUYoGj+QXdCOqcj86HFCvfoXnpDF5
m/HVQW5ajl3TPs2dDjZ6mPEM9M8BXoa7FNQ9l/Z72EGotFOD9FvoVHZxzSzlIRnYoYCI3+I1/0yK
T4U+NWozxvkM+R8ZlaREWjTnxvWvMte6NgRzlhLgylWpjCvFE3TlmGERxaMdfNQTys9EVEycky1E
iSFCjV29LPZPWnHlIRAtueljjuickABGrkQGBZXOHvs606xi8gnB2zNRhPyvfS+a+G2qSfvAxOAI
t7to5kjbvlQ56XHpUypC3MLVI+Gk36VoUaE6cMK1vLHxBm5MgcHPawZwLwOMxi6nHy+MHs2wS/8i
bQVpL2N7gJ5/D/YYbnuews8wT94474yAPE+smZsORgrz6DQ+epYYbmWYuDCUfP3ZlWVI08w9FUho
zyHph8zUxiWqxvhHYfsczDnuP3Ytdrb1kM8rC37sIwWJf6hA8CRx5SJwNMvzXJRAYOIxXUspr907
NmPHlFzcnZ6IKQ8slO+Ib66Fo6atlhO1Cp48DvejQ2YqRwQ9ZrCWXYMahi+cC6gNk+hj2AOO3C01
95tzK2EOhv9AmMGtY4/Z1hPqbUDtojvqfKCxZBIXot8QBL+xGoKYWzsEN21f23n8QgTaDYnFzoas
XTg/RmNucr9UpzRdGjZ9+WR2KKLUYGOFyJvX3ALCj6EBHFL9wzecF68EIrIo9uy50dw0VTw3wu7v
mMVUzxPN0M3suuVRjYl1dBbiEhv0CJum1fl7NvQEnBEqwZJS52dfwigAzmPsSOmktvXVm7T6IcIn
wDdFfIZmYrh1LTIt08omcs8u+y8fLcRtVk9Ud55dHmaAVwcjnDp4F+a15MxyyDn/nOG8Uxx5OKeE
ulOkkWE1C9rXtMEtJgknjmixPLR9Uh/ipsUqlNwElIe3ujWIomXtQE0ce9d1KBCU5RPnZuQc7c0i
GPCrbCoOpsfhOFiVJkW+7Hs4tAeRKaBtSCC2/uhNj6TycXSRDbWkAomA8qX+mPhSZ1/5xFhM3FJh
9c1RpEYfsd+ahNtgRUpqYu+r9ijnJUcaVYtrc25LKAh9Tv5m4Dxrq/aeg8n9jNHK74SQwMJK23wp
kfcfpZUbD00zqB/4q5K7TgXe9ZzZTF1t24gaTIjRVE3pdsT+d+P2uto7tHEYYaU+k/+MyNORap6k
XEv7T/gL4dQkZBCY4L3Ay9Hj25a2riAupk1PWBQoDyhK3+eWUjGh4/URJzgSgF/MkBIphTqOyFGY
I1OeEDnsitzsj14rXfQjBAji15i/98u848BEEAav78Ek5Om0iuH2Y+5CX62S6S4j0JNqsWjOvp8O
O6m9bymNqO1QcccXprZHMbjWYaKXUpD60CMX09k1TEV1yhkTS9y6h5AXnbNUpS51ng170uupK127
ug7HngJXlunWLSzsa0ucnhqgDRHCfC+qSvJb+Jx532dFGuHBGY4xtIVzHIQxPZca81tGNc8B7AGy
of1WyNzaelP3EzgUA6kieZMkfF/jTGNkmS0/OY6re/wMZQoA0cCsCiLsYBVquBimfhLCfeFj9Vmq
8JR6PUC5lHJYOzOqSyRbRA0RU8CNUumNMA16Q1Jpe1/1Jr2gyrDoOmYe6C5yA2VdNwfSaAiE4tDn
vPSJsnY8gs3LkLNNxwWcikD2hEKlNWerOYd3TK9CPjXGGG5VmDbvkI7s+4yB/51oCVVM51Vc5C2Z
uitE+IOpW4htpPe2jYE9CbkMeaowfrZd6EP5aHr/qtBSXaEGK/ZeOBWnYZK0RNvY27dkxEYG0RXb
RgcSX7qVnecUj+fGVbW/Cawa+rRc3hDjmMcEQehrWquJZNJc0eHwfvhTDW0EjueWAUGy15Xd3JY2
gKUC1cYVCAeQXqGdn3j8voWO15CqLZP2OCV2epUMElJdXWcXMTC/3MBEa5ZLOfXIl5zeHr7Nuen8
HHI8J2djKeZoGDE+bG1v8V8tYmGKPUFdk7tXJC9/1Txk/tZucAFepUk3Py4VcTfk3wCL3gdAI5yd
Q+LJ6+iBszfmkZPe0i2PpkicqBlKdseZAD2mJg+517Nmhqr4qOI2PeSBRf7qNCV7U2KyLnTjPsWF
vBTdAEnNUmeIihCDCvYO3tVywT9WhfvcD3CTOv6ie0yBLQJSv6yf+SD1VJWyfi3WtdOqqxvCz4oD
ZmsfnDfRY6U1pixzQSdX56l97txK7BfHr+edA5DzaLnx8DS28/JQxEP7mBVoZM0qNPejgQQEZ86M
xzuny67Lpjzi14Dm0vlZv2uRQiHOmC3WxAp5M7qWMlhpjiRBJf5o7DMfjuiGzHFylro+PrR+Qi99
bosY6xKbAeymHgGh1+oSP8/YvHsFwPf1nhSPPuvPTV8F/acimBlEDofJqOdSB1fs32lxyIS6j8HJ
mFZxj1WkisIhxZNO/3LThGZyPbr9nZNY7o5OzrCSAD2MQ8YNDXd/k8XjVg8xCy9zhIPhjnCtAKRH
/pDsGrzj256w5tAAB0pUoosFLmzxSyRwxYpWP/vwJdNdWtholIh8efc4Sh3DIRBbfGrdfgxRd5En
3t9zpIx5/yuy11IDW3Xb8FshZwLWRHXj9rip0clGtD5+koDlnFBvYtBaxud+To/t2I0RnVprA8fa
vNPoJfY2iRYbibVhW8LAJdmSqBXYNe3ZDrJ7ryOLsR6Gc+yYpHLxtICjpCu8p6vTX/s6Fz+mGtPd
rsqrCiCSOftRp0xs2Qiyu4uDwyryfReaAAKV4KeXo4HuZ9G80P5ovpHu0N0nY9C9IrTPb7nynItp
3R2sQfm31HLjljTI4FDx9u3MQXx2aaKO8GqnW5f0Q+K3wjLGXYj0FoW731wk9lN0Wqx5IO217/uH
vpAGwpCkxVVW1GHXfaFBgvFpWvEC6nKcGDtWrsQtr+0mfGIv7d2V2kk3y517jsFoINVy6sIZmICq
TEaqQVcSYuxX1x3RfU+FNxD9lwbtFd7xcReb68QFL/XbjON4KrHelSkZi7of9b0L0TSqGkjmtEV8
/mkd0r7QdPRc359oolPLQricwBncNgXLdIqCj0nPtJUKTVfjDLdQBHZomXFu2/meExAIBNV89Yt6
kt0UPslpBCCnkzn3N4nUgD+s5ZXU7pdFryy7rhCHdMhgrq9MuqZLtvWcZeekpifEQOeUlJnxrEcj
24XoGNe2e7HN0iVDwzPtqip1Dl3NqatN3PwIhprDLOnyNF6AHJ+oYAn0yRTKpoPZsStuah00ZL2h
mJVb/J4Yk/XYr3LRtF82TFWMmxqpen0wjYo+Dh2N9MH2bfdC0VefkJDV+y5Lmwe87sTe+1h58d1U
mik1DQ8v3iyYfe60LR2LBQyrOka39qiKhEOk4rRS78BEqLOBq6zbzOY8HYpAY1ZKaGuao++98r2W
QwdwYB1UIH60lwGOKCeW8i42E7wCWI7tnzOGvX5rNEaIVEdaAkVQ24ACXRfLYlhbyIUd21+OV6zg
vyAwopwZAtsb/ZIXdyr81w7r5RUTqfoaGIR/z+DTP3kCYbDpJkkDbvUXus1wkN51pQ6/D3NQU8gY
lTyZ7HAmzzYoYLr9NO3QrPFu5UONCNywHOuT6GH7qecVfo7NvPkqfHhhmy7U1S12OMGIAffissHz
XfxsyYpFfjZPR5PJCHlyLlrPIjU0+07tvc0AaG7dJi9/lP5CQl6eJLf9VDuvvWFDedJ9Ur3nbric
G5STw0aOIW2IEtIv+raKtOqQiOCHsAaUSkafY71rUHzHUXUDqVckkt8VZkw3Imh1codUmd5uahxE
GmfPJkkRX7WEwsYQKX6pkqr+bvDu7w3Nlc+5nMXJo5I8zjJbXoBKpq8yEbyaBG9134UyvHe6wM5b
qWfgBg1a29jGSudoSvjFHvy95BE5N4bjsKXU+R414fQlFqB0Bn2brTQdB519AIlxJt3p2XCr9GRP
MCDUOIbfc0tARfBhExKikUFc63MQbEaHZaBWMZxR2BikVZbt90B28Xmh1qaoXkpyLikAMStXOj0k
g/vI5iU/B9nXd55UZsSwwbBX9X+yp8zLEcgabxntnhruJAsy/w8mtJWU0YCo9wYdByxqln0AM3VT
3TEuQ5c8JfS7XPKBAGCLqiEzayTGrJhL+IdIqsutI3R+LbqxPDnjvMa3p92ZDN3mJ9pvBoO11dnt
Nrf8ctmIIEONH44mtldiRq9ZMIJm52TcOdFAY4s4Jk9iO4iWU3RdueT5yKwsqLPxO31AERi/0bAe
70wzbh/cwa8/3bYvr6Upi/PSx94XgKXgOu6a5ipxfIMUQmuwv9y+IzVMFKOzMcBZf5dIT15zpbQP
MNFXhIJnLUrFeXQAss3S9o48quEOjprzqN3WIsCnhoiyIRzWvDdU5zwnflX9lIl6tkK6olJTkQxz
A0nSB48+0XFvi7ulH+f3Soek3Ct6pz31FKo/n9b7ctQdbT0oNLo6rNAeelnNQIFheM1invO0hfaO
8RNULEje7GaeOtDCLlNX1ogEnCT5RR1gC/YvZLNudxgXIkg2lRygtAgyXSOhCwbRDebo66F1JsZW
shc32CJp2PldN29dz0/ee9XEBQBE/UoqTJPvUKOnJ+Co9X3KjQoOECSdJ82AcN6bVev/pDRyCGTJ
qvmDML+R5krZ+PkRb/9qfxJ6ng88zbmOkAKunUGlJw8DsvTe+jpEW95Q8l+S2B6fvG7d2UJvjJLF
oGtvSCs8J/78Q6liNTtxUTYcrXlPqJH4BgwTLMIr65Ytlz72xBzH/56US/lTJWNMy7JDM+3NSEUs
6wqPFYo8FTjKi2zyU5FC0sEW8EoVAw+bP3i0EAKTmTnDsdk3CbQUSG1+3e2dNKN1pq38I4Y6ePLB
sArgHh1mFWyg2b7CIv2hZh8O7uRYbP+MbuYLAZHl1hw77xVJK9tHnnB4q1RcFRBXC/tnXiKmnpUj
OeAu85qfWxGtXAwe3vRuJkmPIRCPpDwBhGdQ5jNMu/PwqsFidHp2Ex3rjyUnyYvupKFecj/9X+yd
WW/cSted/0qQex5wqiJ5kYs02XO31Bot+4aQZZnzTBaHX5+n/b35YstvbATITYDgHNgHR7K71SSr
du291rOKYFRUE1Vcf7eU4R2FZnuHFLXVZVwsjVB5m9Pa3HbteZ4HLWBWyxl/xsYjSQbUmPZtOdtU
ccCpuf7euMrCgZWnySV2xW3O3HdrAgt/jIvCQunaadMuRT+rNsztY2DJ9quAqnuvydR+0yStHaPU
TzMYj2+DsNIny4lzHSBH5dH8tZsXoljKkxZVxk1eV9p9hJHjL0KM3yUvnm6jgmLjNklH+6hBjTPd
QVneuNczPcNTTswXR1akmPd1wr5NqXqroIw/6Uqxlf5ZMGH/O7kEEhSmoFjIEN580PcspiYRDU/u
dpZRf+vJusW71jFF0BnbWyOumJAzGYNxPVXfxoUtpR0GgKIqM1bQj96yuiOs0C1oduJWJFqVAVM5
SWszUsZfYYXGpYwwVa3MAhUuDVSx7FppV4fRTpdz3yU3nQk8YxT0Bi2UWrk/jBkOs5EKmL0eV1I1
ZOa2mDLQpqiDAgkVczW0g02FIh4hCjMZG2fj0iTyLSWjyAeB3EMvZsFPK4jtKw5jSKUm1/rLR2f+
LiP0PHq20PAwvzIM/iBiK7iV+PhsqnU0lJwb9IttT3OFBpboVQPJ0jijzSDOh11pHmZgFMO88XJ8
nNxMDQImeEKRR1ARKFt3NRRynXqW2usVYbDVpB0n8FJrN88ogK003ZUpHpE/X/2rkPSD2spDeYzo
0+VX9DlX5dxPYpmEvaRWXovhv61TjjieWnJgHVN8hIt3j1ReBorN2Z/nLj6QmzK8M/Ea4A5d1Xo0
3IRREsLUjTptD3Qbf353v8v2eHM22EDTdDyUqR8+X0i9GjRCQpwyg0YVo8jIO+lh2f7lZYzfUleQ
7EFS06+PAEu78eF1agbGAKpqb8v4c87Yvh0coWM7BNOUy68mB3jWyKwmJDosseQreZ9QhE4kUjfZ
Ec2Od5vPboZshoelJvnjFhqEPq+ycNHWdqI/1n3WPf/5ozE+fjas17ohICuyBrn0fj7INGE5LDQk
uPdUR5Q1sRDA/x2d5mAaZuSOcwx59rLbiuz6z/lC94z5jw7jJ48Psz1LnKbJ/E1Azzr9eF//X6T9
F5G2ccVb/nQJ/w1rM+vi12/j+3v9s0j7X3/uX9lE9j/XkD7poVpDAfkrYpPLrV/D8gRSaYYS/ynS
Nox/UO9xA1sOasnr3fCfIm33n6vvEnE3miDHZHP0/k9c8x+c66izrxGijoNbQlJdG951OfxpreCM
GnKGJfJBjsxyim4L1yY/RUX7hVV85HypE3UGKy6lnxG6Ec42R3+OQ6mfqk7hD0k/D3V7I9tl3k6x
GnbYBi8UYuTiSCMJqoETdVMz9WlF/tK7cMoYl72MlI4eMzqeA5MOjKx9AmJ8BC23P12NfyNRvD7j
/yFc3H/7b//1xw+H5tTggaKZx9Dpww9HSzvul5mB/1SkgSGGTRZ+L9v6osu/rbkfXwmXhyFIW/IM
/rXtj14MKKGGo4oCyD+iuwTLBHIPhvSMg+oo+PMPdc19/OmncqgOJUjX62+W4Dfzuvz/dMlmmYwF
mA6kL1K9OWHjcLorr7Mq+m6MtENVARyVKgv0BuyHo4bOx0ZAolLUxJTBI+b0AXN94nzmux7Lsjhr
Aqs3J7KXSBuPlXReTQJLRC0DIauvLYh9HxMispGywcYXtatSJCNnTf1QWEO3txAz+hwepjXH9THA
ofcq1fK5aRLw+9C+8gyE/Z8/g9/F/uwgHsrlK9YCJcRH2kMISU3NFq2JynW3ccpeXEyNX8c9h9Nw
61UvdSFfNUpuEwrodIXo2ar4lmvx+5/fyG8mHGk7sNnIwMTmY7ruD1XwzxcjpvFcREAb6ckiFWua
2Vea84KvHaOxkb/lA6KEFE59nh9x9T9WYiaRJ3W2Fsb7VeGZd9bQPqQTbB/RbO3IeV3S6EsxG5sl
F/d/ebPXsu9/PQ+0MST5YzwHCE3oPbKE/HrnEGnpalk/xWtd5+ANrPPg6OOjrfSHRpPE7iWPzGn2
qSd3C4K/pNGftZj+9GATRTjFQbuknMw5C/XGNcIdeBWcibFu7b/UYL9dXd4nxi3AxPAgMLg5HxLT
RISJLkkcjVDs/KFGobkZC9iXzTjd0og+cvYgRyKlPrFlb4PXWr6oZnlATrEeAGD/+UO7fiYfPrOf
38vHUlpnJJLnTh4GYYlokQlw5hlE6EKfdM0tEru/vNyPNenj62Eeo/fClXLQPP96jUBeZGTCO15g
9RglBwLfV27fBkMxclfYDzRGzI1LXzBQlRb7TeEkFxJp9vj0vjizBTYUpSiBwwWdEa98CeHyRJ23
KdLukW5xdiQtlGI89KZNKJI7r9AHYF+oLq3l5PbIkFKarqvaKEkzVeZqNisQAOREYpAgxYTwprVt
N6e8QcATzjlgOuwtO7TWmO8FfC9Bm2lFCJC17q3l8ucL8esS++PmZTvAhMFeZTiU6L9+MDA0867q
uRALQjc8h5u0vsH/wUTi/OcX+uHp+PUSwGWFMo9nhxeyxIdtQyxgdcuQZ9pKgc2p7B3NNl54ero+
Jg0Sorv4E/jhB7uhPz7M99Zsfg6RctB5D7+0COpK0dGYIO1Ov562zce+b9EV5ds/v0/791vz1/d5
LSd/Wnv00HMik2AI8uYk/PpxQ/gMYZ5p8UJmtI41FAFHXCt4HFrMfGEqz+0Ets2tm5dooUcEnU67
kXanraepsXYW494z53MUYeaYAQp2oa800kYOjHBhGO3Kr5v+BjUmedSQIld1D5NZM2v0ER4vjMKM
+fQy51DJbBOSFKdwTvnX7Nl+2JZ29Wnq09fwqm2aQCt8Aer0TDcSWCaVw/eC2Zs/hRFNzKGJjqWs
lk0W538psX+/iah2hH2NQTb4VXw4GGe9R7lhlR65u+ENlHEWQeUnFkfJ2tz8+fL8OGF8uI2uNQeN
e5pyBkexXy8P6aLN0AH6DpS5WIdhWD4tSW0da4A6zxju7VVOiJIs53MXfY8cWsQVnQ/8mmywYw94
hLaM5KKQY2F481/e3McjonM1x0JxwtaErpk2xa/vLU+VUQiX0WFaoMOJNkyqjkvz9JdP4GOlwqsw
DGERc3gNA/LMr6/Smlk0KNKq1qnB1GVypt2M+y8IRb8lYagK5m64h+Fbv4K0fkrH+U4wogc6SL/a
ZvzWLFfLVZuUa4ADF5CO8SmH48SUybH/UlD8u3d6TavGLwltj+TPX99pD1k7R+4cBq6sWFWSYqPS
giZDjfhAx2khY2dDg/fogln784dEJf/r/uLgVpYYvhzBriw+LjbKLfqlQkofFLXzHI4OSwzMc48h
TmneqxndA6jQP7+k8e9eE9EWKmOPHRYn/a8/rVfMtK4yAaCjCbdoCA2Ef/V0qJkmBchaT1UxvMWZ
empi+zVN5Kt5RRyH2te+TYCjaFV1407l99Sx9kbl+En6+Of3Z/9Wp7jEpQKHuS7CdAp+vP+fFrZJ
a4xKN3st6NCCJSnaZxFuwpTHBaa0ZLq85Eebm2iczO+piA/DIr90yB42vQw/t81Sr1Jp36OF/p7G
8aaYkBSpCid2llxGEEww7Niq4BTRs3kjjBX83xBtVKR5+4ovL2jXD2lmNYgeu2CehmYD1P99LvTH
YbY/G5CRO/xcpJVsbEKh1uoqxv7zJ+B8NJM5rik5tkDIETw73sf6tkySntNG7ASdch7NQtwtiHIx
6mioJ6fcz72+XXciPtOQRXHNZDCvwD5h8u/WfdTd9+14b7ewiphMuJi4YTWbLRu8Q0ungDVJEktQ
eBDHDKs9RV3frzwoMUEzRnTL8UHA+z8hLxiDJAxfXVFBAY7cB2V5nw0zORuRhTTa3Lcpu0GKJmrU
gSEuw/KN/n+NGae5aYckULxRfHy3OdSUKU0hW2RkkTXiVfV9oFkW+ZTluO17tGOAqxrOIOvJyxw6
twxS7dIykbk360rTDZqC0Hb6YgoIfZ42Mf4nayKPjy8dTFG/jW10W+UvzuKtk/79L5fi4/Pp0gfk
kO5wtNMtwJi/PiuDRMzrIAoMLBOzz044O9BrwK+M6l+l3//tNsv/Q9RBjsR8XP976OB/L7/F7et/
ubSv3967+JcWyo8/+S/uoP2PA1yPtRkn+S82d0fyFVyOPCHI+fgmtvv/yR30/qGlgZPdYOdxrztP
9x/UQcP8hxkzGx9/naQ/+H/UPvmNNHF9CYNcZ6KiEctwFP317pBdrin8gf2mRajdPUDRdh8Xkknq
ABuDvAWJCdhWM6pmU8Iv2dgY7DgpRuIvPQF6p9cd+5dqA94F+znVBoMUy/3xTn9aM3WhJIlwnrmu
wHs9Zy6EjVB64V5Fhfk4ZIl3miRjYUlEewjCvK4GRP6etgbWJ3b8r2TDXAsnOhqXL+x7tI3J2YNs
x0EsKAiQvOj9HO4Xs4M6hfHuJk4TxKkp9Ja13WjmXdy19PIpnPeoQ1tfa7Sl91mdwrXWYnuzhDOv
ywhBRKwPyP1M2zFZrskbSd3ZO8ohE2C7TJX5Kd9/9RNNxr4N5fRaAbqi+27fFGBxd5CRBCqUrrde
daHnZ0HOLAqqBmw8+soGekrvJ3Kevlqcn74hFxSP6Dswos2WOvTZ2F04BXFIwWcBmTsaq6+943b7
Qar2NrZ746BXSEVl7A4bInP6S4SvJbBLk3FjStBLVe+mRCNhcZDR0wyfCYy3zfTdxvjzYnCu8iup
m0/x6GmbASXLnqhfBBvKMk9NHGkbvkXfToSZBdUYtztEe94p0qxxr+jlB6zfm3IGGdvYzXCcey25
GYipWtdjU7NHNQzkByb1m9kZsXr09ryOhOwfRYOzzEsqi4yAJn7Iy1GwFrrhup27FsGSru9q2Fv8
aM0Fmd68KqQ2nqMiSx+HcdI+jWOjkAJfvV82IrUWSPe6waPiW0urvjVF6q5lkZV3duESAhhKbTiP
ddEeksiyA0Oam24azyC7d26pHV2CZzbRpCEK151bx0pRNOtojf0FfatZ4DzVBEEPDiHJ28ziiNB1
dKnseL4mq9LTCpfM75ixd7K7APCWoLUAzSG5Z5spWlykxKQEdY/CuM6y/iVJo544tr4itTpCnFlq
2ldnaaa1q8r5pmCeHXgj91PCbbVhcpmta1S51/+S3yKMcNQQdfSJiQ+ke81Q85ld74rzqow7fbKM
y1AQZaDX2uI3tZqCEYA4XZvyln5Oi9R6WLZ11Pd3OGck9hl7uSP5JaVy1fAzWmiqSVdILtmclLeA
Q6M13GixLlFS7OMGspGImyhoiYTwldPX4MLr+jkH/sfVBJJc5lmMJrf4bo1xtDZGr3gMbYfUwJkh
O38HQ6m4kTtFkPlpiid7X4ne3ZZoRNYWbFFmscSf+dDJvXWL8dcH3lwHHM7xToPLXGcEv05bh7lp
9wOYvhmwdTosEZJnjWF9oNUTw72ymItdOuQWulOHdFR23tuk06x7NY2+XnY3hPAs6AUrcXYre95e
w8ECW0njHLnxrccis2ZEdatDYMvjccIdUQ5HXMDJ21y18Xdky4Pv5X3pG94SXo+x+u3iWBxRWfV3
1pDLQ6tUfS5Hu98vpRIbjaLxtuNtX9VL4X2EEOjVrK8SlbQXux4n4ltr5809K7NL/mrVfjGbAZ2J
k4LOjCRprzW8ZCCZdiSzvWsLiAeCgJ8QAeWM2B2FfYCJqSBesybrLYxJgROkR9U3pdJHcuqxeJ4H
KOBB3Grphswhy8dGBAUuRNPtG2XrkAvY6BZDt0Eh+DUsEiFUEj7jgA6JUkiqBVaTV5k4j3Kus5eY
vfhcGO5wp5kVnjdT79rnrqkXPzPC6Fb2xBCz+alzaMXzhjVt3kJQKg/jXMSfadYo5ZMdwHNN3gNu
KOxsm6UeywipiTdZp7jOxAHAdmivkfq9z5nMon1dls16HPry4OadeLETj75wioBphRgMyAWTUc7s
DiRXz/Xq70T0zDWNhrb/7nSgVsms7F8Kwxt2taxuy1j71BCrsiuv1RrDOMzL5PMsxLWjRgEBT7I5
YQH2ZyyTiEAkUu0Xu2jzvZfOV0XcCP9wTEh6KdB+xQjq8gCzH5C5nox7uNgj6gDwZ/a0l+msvFNd
hEb2LjXBAdIgvuqBNplF+V9r9WvHo/AaklzxXOWxdm4iSeMuhHbFI9TyaoW3jE81pkCNTSpEN6PU
S1Z42nF2xRRiRSeIVcpxkfQGkHjpiTVaPpJj6xDVLYHrk3tFS5ZlR6LDLL8bsynu2Qo7dz86aZ7e
9V0HFxQtw8PQNpQExgAl1jIaU9woGH/f4ahZOiG2jvxUNpP1No/uvEcdJLZzouRRAqZ5x09NfyA0
9XSnuYY4halNYIvWjJgIYyHP5cSnmmW5s8UkjSi40xp5TzZT8xnKWXNvs1rTDm2aHWMItSHLxRSb
OotduWJoPJ2tJbR2tkgiDtbULqMdOqseofAz8Ibcve2M0EkPKrvX0OEesdV0K9vO0FcjCcUe4emN
/qny2uQz+RWDuWrrZMHXiiTFWifVIL5IHcLAbYrD8ypkLJEgdbmrr3NDw/65mJ5xZ5T4bjRDi+7i
UYwveVsbT5Y2Wg9VbzCGMjqxMa2pQvSpRU8llNM9VQ0jUKn4K6i1RnIzSrK+czJjtg39pSONPJfA
Z1e7EzQttwatFx8vXfXuJBMNUwWh2MfdqZ7aycBblKVNSah7mU03BKiZ/XpZZtNawQuBdIgOD3WJ
MQ4BbOB92FXT19jRxqBq5/gTBq/u7FhR4RNHa/hg5Sxf8QH7i2L/LNKGOK6JvCsC2m+HPpdB28Ce
8C0g8NRi7naaUhwNZZEVHWL1sOqnI0RJzWZOMg7mjk7HMh66Ko0PlDO0SEwjjR8pG+Sj3Q1oslFp
cmryUse4ZIStrDC/cSssFdL3tLXae/7URqQztvZhwr+PxDfAhuQcR/JI1nFFdDK2EORVNfjoVZiK
eW+kZr8JM/iRIra8TdlcuRNI47ZhtUS3apnFpre5R+24dU9SQ/6ZRMSfYJyr7XdsOFNbvkh9eGUo
syIv7WA6L60aOS7lKrzGeGndV+rLatMboma+DiXokwZ94pK3Sbq2MvIigpxxz02lsVkStTPINOgy
b8usArN25uXbFOfnDlmm3JLy4gYcEFVzUyUstq4YyA8eCghPREHMl27S8atWgGzPEuX8JRbkJK2U
lafHJPOyRzUgzzVzXd8K1eX7tBPpRcWx1a3TuprflVnkDjltY/rJ7b0wKDWRIglOO8fyU6KvGVQS
MUVHs3DNaT2VnZ6GK6FatlrFSGrvdmSep0lN2FQI7H9H1BQR4lVbb2RDfAfRa/oNoPCG9JMhe54q
GPoHFSkgsSMJtzsvJM9hl8KhPDEdGa5CXEBKDNV8iVZop9BVfWXCYV3s0eyoq7tZf2C1iQU37kBg
QcykK2j7cE20iTpkKCvaDGWek+Vrih5MlUQfnxDldCtSUoiKH8O+2yrZawc3JYucedptg1KKYOfF
zN+H0iHDg1WR3b9HjtZONqeHYQ7nACl5eXbyhOpNU/ozGiHvwgbXHCt9BJjtaf2GcdmwsSeTe2Kq
wu8il/k6MyznljabSQHtDLhbR5JBpqTWnjW5sIbMU4jk26tLfZsheF6TydbcL6NEAjn1pnXThqR7
JN4yvYo0D+/QB9qowjRwSb2gLDMQ8A95997adeHDrWgCRxg1O2cUUnQCABLGeBO2FAXJaB0trtCa
bESSyqRePdWmY68lG80qr/EfF0nonOc4j5+Nob1pTAlpAtn6Nq9MkO4dh5tTK6LsKLPWYSExc8Je
OGMEXgT8R8dneWdPAh1qXh7zKn+SZvFONvBtr/AjZkZM+NWU6SRvk1mnJS47U9r5lYPsUBr9cktn
uACr2g63FdUXWeBhdIqXLN5JN8IVZ3zNxmzV971NfDAi3Wiad5Zmx5ylljHAHlRsDDakCJ7FTDo2
oICdTAZgHiYK1ng/JQIypMS/Gh2zJZHnyImMY+lCns1S8mr9pRagKgxFaNFUfHPHJjLw1I6PNQ8T
nZkIWoCL3FBvsiTAXJzdIbuX+7CN7KPbD/adbRTuQem1WvcGCcSOBjY95Gk/DrOD8NOqWoMStLzm
rOQoXGZuDW1q86AS0y7MpdxmxBW5Wb/VY2hpbrzVHcLz1OyPpcgDqo7kEJIz4bdmOh1bEgGCWbI3
YU6ohr3hFBgbtdRaRbBn6aVmrc3MaNrZSbNriPjcL7ZyMTsii4wwgu/DpWD9U4pLHSIG9ONi1tbI
tbRjHDXei479YAvA1/jUupTsXhPlhxo/KDlCRnTONWGvxeip3QIA/AusJOuTdJb6ngoYV1WYqOes
DKu9VdbavaEGcZ8tTcZaKVxsCRCGTm2fxue4aAhXpmh7MwyDI7RRW9c4s+obUBjsuHZ/mpoUD3Ao
glkPv+oTe581E4meCQKItccmHbSjOSu5qkev22kQpveTOXjnUY7egxuSlYKtK0X4TAGrnNJad4wf
A+HUJ/gB+JKTKpB6iAHE5hSpF/epmjLqhLJ9NQgACwrNCn2E5doetPVuyhbtoFuMdgCd9De913cH
x8vuRYU30MXLadrtTUXWCzCYIdNxoxI338vPWQyHddSNXRZPD66HW1or7hnbYhQ0rtuSjNDUVsqn
NPzURt4LppDABNbd0tjw8zYjGd0t43vCiYqd19NzZJspT3Y2mtzHbbX33OzoAmo7RJO9HGUba2tH
uPmuIBTPnjNMb2mck5hQJvuxz6OtpYaHKyp+hasBqQARo8GiSCvh5qjkHsgYg/C4yN4sM61O2eCk
i0/EvAzSgTUSV+EuhnMewOHRt5FXhJsqc8LjlDMl1byo23kGJ33SeVLM4+j2rxOQYOlctUeBS663
szeG+GgUIM8s5O2kz4inunb6k04f/ilJbbz3req9tTBnNkacV+DuM2LiB99NB7FBqF4/Y0HMQVhz
RFnkNRVo8epjXAGZQQF9yYi2SxmzgVGS69hMD33RvJeTaM/4NLGBRa5erlngD3rtBk1rFBtaTPU+
ZTCED3rKAjNr5/OCYD2QTHneLH4+sD8DqRFOOV0NEm6zV6gKLtNQik0I1SgA+YoNJ6/XqqHvLlXv
DxZA3MyoXiyp6feIH1ABmZM33xW6cExcMbLd9MgBtmNSYtammbzXMycDnDZ62OY0YPt1K05FaaNS
quV4cubQPSmrIsQCU+2CF8TCa94tDjDFB2yHQRJbF+jfe5TQX5lev5MPBZZZrysKcbMBFCgkHsfO
aKsN26YGwQbyIoJBnW5zMd4MmTI4ZYPaYufaZYbYGehfR1vR6HZBjHjFznUrHiinWLPbvssRZGop
vG3n0CDWjKNwsZ5Ra20apT4P5ggfd7KsbN+wHTyALZxvCBH6PFjm4regI6zEE7dFOvWvmrDqHV9f
lRlli8MBYm81nMYoUbQHfLLnymqCOkWSiD1VnhqzhTolzBcWcLzueiMAQhVGoKE7D9zZeC4cPAOp
dFtc6PGGGtpvMVnPVf8OVMoksmCqVp6DlTkbXPzlhcRHY+5lnOyLbPLjsXhsZEJ5KUY/aYiGa9jA
N0UIGbqwtnk5v2i1a/P04DRLxqvVPye7+YFDdrfJ7eSchgpPs9Ffxjan1LOS+BJ31lNaYUd1JksF
pJFQLwIB3DA+JOe8SzYT9AXfTgB2TNKwbyaYOYFLKhscMogUIGHWZkcQRnsl4QhDHezsRFD9sR6T
hMexfBiY2w2qPIReR4BUN9zIBY9l0A2DFwyVUTxG0KFevLI/pEtHyBgHjlVRTzvZ5NMWbbYJphy9
7z7pu2GjZYSdakZs7rLOUJdmUdGXKDNanyf0lSP/o4W0ebwgaoYM942YwOgRaEq1Nyh99zGdoWuG
xEmTRNLh4sYeNjnQeU1QSOU43EYF7ZZhqOpnywBfkaUzJrFEc621UUP5LnuYOU091yfToWPGsSHc
KAwbD0sMxyDUF+KXSGShl2nKZi9lOuCdQkhUIgDVkIStvDGduFBY92ozTNaO6cxkl9ZW8qTEZN9w
n61NkF+zDLsTabO4JVOdrtd+SU0XU/nUvXSdre2RtyfrCocjHr/FeauXsNtBqXvwwvShMKt461TE
XbdenT1rRKUEDRPrwSp5Xwn2hAz0aEC09bCO2Oepk5lhpTHOIzOv75EMqNVCnTADyIlWutaUe3Dk
td+M42dRIS+YWcX3Monsc64DqIwUqTHkz2d1Q3o912w3TpbLrKoW+FgcWTuBSPm+0KIJFZcxHapG
fHNodREcOpuXUqbTXdpFjQGNiH44lNyRTioWOdOMPmWLyE6dW5UHDDdTve6SFOWYFnZYC4kiSLdj
FmdfyE3pt31miU1FpUlBlQ1BYbMjJ4vepqvWwRHBujDnxpnpnopOSs7HUqTac2gCoU9rjh7rTjOM
R08IY16ZbpYhz6iK9DR1lGROWBs7NRr6cXIiIg2LsliQHs3SgVlEPkIYgRDij1hrnTTFE2d58xnq
jdgbvWy+d3FN6Rja3YmpGC0czdIhNAnYX5KIugbWwLaBfOeCSG8MEhEHdl5A0eKkqz5oKf4sxpHt
KqVLcSL02HwYCjM65LNpPrLwl7fIJ4h3jRpcWXrbNFszLaxmM+mAwRA01JPP4b9m63MWf7YbjJG4
oeiEVbMZv7qS9QLPy5g9YVo4Dx4zS2cey0vaVNI3Jvs99HTrq24Z+EDgTobfwjwpHilDPqeewCmZ
tXfm0D2aRAoF6trwGpZxh8Sz3mTUzsdp0rldBY0vV5ZqN2lL+VoLGDNubac+dA99TbwYdxHtQeLu
suWiDwqbs57jbJ1J/tssmdnzaNk06CR6vqJyNhUW5hs3s2CaNRMm37h/UjNGYN1sP5E/iVAqwTqD
50neLITh3M9a13yxI8yeyMSccWuJwW58NHSYjQQHmyh8jGPP2yP7pdwZALW4w3FK0pQFb0oPs+l8
Tyj/V1Za9EFGC4qVYBK1rwbXezTygs2kW7IpGHqjPBGgcRkcyF2R9O5isnt88N6wSXrzDagQNyPp
UeepoDYmF946EgWrvSoZReuw8r54veHuZA0jlSrJ9mdCgFk8ECYyIsrT/aRMY8euy9HYPCRUTU9p
bogb0+D2Kx2ocMPkajsOdiMktvyuT5jITgymNg4JtQaFeuf2MHAWupJrJDDdHsiBdqPmyaOJYT/G
teTlsoLxSkteKbYAxeiYCEz8+Ssrr31Uhrfa0ugnSKeg2UKRHgw34lCcZR6dIZkd+3K6N0ym72EL
bcsZR8bBofeAN80+xmX5wNgYz70YN61yvDVJqI9Vnt4QloBqXiJbghuFF2fJEEj7gujIHQbFfkMa
J8Mkpon86L2nWJOx0FdHr7LI60x1YGLVPCLxNSQLMoya+ongIvkNwBFdywqYDYXFwuUVHXIClqHZ
rSuS3ZcM5yTL4rmPu/DSLstymBnyn10P/GhWp08ikneyI3FksL1XmRqQFqKTS7d7awt0hu1s3TEe
z45JPPgtRMykaJ/nIX0RwJxWdVejBoQIoWV3ITFjwcKA5aGF2+GbkATuLb1qjzjyyG6NZPwscBnv
snakpJm6KgB+AhbPcIImru2149batoBmFw13E7OmczTGKVauZXwt8P6FEJBqyu6+pfcyCJ6AqBQn
YzCZi+ES1Nf4qw+Rsl0EsO0echryARuv4tbF1MtphWoBjM7MdoJ1rfR1Yeu0HCX2swYkBOEnhfms
Iz25FkC12AN2Lr8a9Bp4fgazOvGXpgdCnZ56lxZVrpmbivXt7M156vgaKKm3JaMwYz8c75KRRJ6o
LvGjem2vv8BF1R4591unhVv5eSpzBSbMCEmdGuLulnUBQHg02PkX/G7qLXZ6znU0DTzFUCjLxHLs
0D5ndG/t4VmgkL9V2sRjPGdcBGZMY3wTLiNy36VPKDNJI/Yec0N2+3iqFpYrAAGfR1RAT0NsxOUW
v7E4lxH6CjqZNvo6Rm/5bSRcrfStfAJ/tEQFWhUQsXaNp9VJiIwc2z3jKMo47JPJhhM1AbZDkSwr
WdUm32sCaPCyUb2kTvkGDEgjf7x/41hO5miTQAPRG/Mtp+Bj4LbQsFppKS2RbtDdozL7hJWi4p9g
qMvuPONYo6TUxQs+JZ4lvqx3Z82S3VeL7A7H78ywImxECYy1VrVZlC33bhjJM1NW8s8AAtMeYybc
yhFpdpKLu4GEAZ52J+JGaRyu3hBLa6dpIcRPphs+OA/v2ukqV5SKCkA+sn0c/qbvENW606f2Xk42
Y8g8BGWX2kIDjZrm516T0wOdtXjTVIW/LKTh+eRkFIT/ZPIKWlpScBSORMbsGKH4WoFyUWs715tD
p+XFk9mTQ0ZsQ7Fzpty6zUct63wndEdG0ablW+SCDMo2fN2KwP+0U7JhorhtRm7gaHFfy1iPNi65
6xdu/Ga9aN6wr8zKvNVV/Op1dPTwuZlQv0b12a7xzHZ21Kwze7kM+HcCsy681aAvwyqMzdmXfbEE
zfxCWHHW6c3KMqsbJoJkzg+N8YTbH2dv1m69xF2ey//B3pn0Ro6sWfavNGrdTHA0kkBVL3yeJLlr
VmwIhRTBeTbSSPv1dTwyu15GvKpMFNCbRvcmgURAcvlE2ne/e88dE3M1xTXe52xQpJssuINFd3Aq
j6nD192OKTDZ9I4R3Q+NybV+EF+mSCYzYMCgXZuw0W6yAPFrQgK7d/MoJ2NXee4jyya9SaCvXSgB
Sze0CE1vkbS+gVT1lnkYuXdV15XPVcq9o86JbvthmF4GRavU6ImiXAL7g5XCFoWGeThjIV7aCFPx
mGfZYzKY8t63Wfis7TKNxyVRpvQIp4YjQYwvl2pX7ske4bhIO9PDNOfWLvUGiFdTyIAGkocN4n52
a1an16j79U7tM3is/Wv6ucEQgIsZAzv8Y+DFA2WGrhyL62LWWmWpGvErN49MZpxSpNttA1guN5nK
aJKbgSrOuf2F/Vt05CCSnQpOk8uyZaCZ01IcPXKdyzHLivXM7u8GeJr34ht6Xcam2mSpMxOllv4u
b5ru2GjqnPOhN+8TZY9blgzInLJR2HA5tbRbWanoIRkncYtcyVPJWArS++0eWU1bZ15Vl/OBOzc3
1tXJzXatot9J+zY2iibQp0pP/vd5rspiy/aFGZCt23QgC58uIa7z6UFLfYy1O9w5Q3M2Yr2qUPNg
LEmxdwsf47cpvPoYVzFiXGsC+lqxVhmwVlv5kmKC7y1uMBjsgpWKXzvDZ4F1YCONIto5MeBYSBeN
vbU4KBzBpOyKcpbv+YiNZx2OhoLE4VXpM+/vF2AS2XZCRODWxV4dApbF2DZFK5H1rybNyLDOUvhh
ilI3OqiR6RB32N+ZK/yL1NlrZxBrlQtWip01HmfyCRAVquFNzs58zmbuj03r03qeMBiAFD76eLBx
KMOYwLntK87/7Zyk97INWuTirHeoKeIKLWtgMDklX4rPLyjHJ6vw8k/6jolChJ3/yQYuPHmDdUiH
zMGc20U0FgW26mjOTa2CMkSjfjVYyN7VVkvHfFVZfCosY2XmTvNFhWSpF1M05lieU4EUzJnhAw2U
ycNunbsY6OgaY1CGx5+EIYv/aV9DsQcmO7nmMS5BjE4ZbI7RIINdSeMt6qbuS0ixt1iKejRpKCNH
zhzvkQ5HrGRMoKFq61CKtsOzA4q7HtoXhKE3YCZf1RQW3MZF9+QQi9mnLbxOarG79NVi/iRBZLLW
GUxzhl7BOZ1Zg+5GQlS4A5hZgJ2CA8vzqbqQP9DLqArEnSxLf203hdrpKh/1EqVPbnBI1u4G9Dqe
DIqAIoDUShrLuaBq7zrg5MgSG+13FzZe8KbS2kLFiPtpR59eyCrDCACqT/alds3xBDgYyhLXo3tM
HsZSo/TTdTNN4GFjd2dLGb8msnKe2lzmeB1wrbDtActmGO647YerPg63yrrF035Nn3VlwMKLbijV
5as6Bb9HLoo7QVrNCO00X1GQQwOnNCz7ZA4FeNnKvlZsa2E3hI38bCVaUa0Dv/+eWalcyZqC8kWf
YWfo8kKvbcd69NH2l6lphVvB1XTNfrc8GYV99sYK7iCEW3BF2r+duxYPYTpNX8fCaQGNBCq4uCy/
O0YkHd6aqVXes6QNH4iyTmcW2NfcalIdjVmwV6vM8ZB1/qyXcUw3tgPm88Gd2TLOjnzt0aGvINlO
0xgLgw8nTbflVorfJZ2Hu8Eu7zHv5Scclpg7wt5ZuSp4BvqWrPqsTTlKBlP21OLXOatx8uiaHtzs
eWpBmlGVqjE3pWNDKkzfdHwglhWwK4daMH/fJ/k2KVVy8Erwa2UUBMBavVugDuVqcMoA2tpc7dEy
xiVu+JJvxKQOVoNxRmcd+mbn++Uygh77SiYY1wcx7RdDOPdBFz2FxAbO9DMC4YuY4vIOJ26pvGRV
TtklYU8IilLu3MDn+xOG83HOoHZRqlLd5vXYgRLK9xAm1aXyU3QDhqhTOJcUzTM8OTeNH0I8sNRH
0EPMN+djHLMwCgzvULUlSxuT8OMuiybzldIseAww3bae65ZP1uBz4ZLspPdVVh2sWgxHNAE8Ia43
UbZpt88AF/RN0EeSlnK7pSeBRTWoe0HIHr9Su2yFKjbQDbIdfH9sHVBfl8Blm40CflJy+5rBITUx
e9nENYsLl+mxuK7kpzV3jnrDTtI8Dvb4rYHxvW362NtBnEHaA5/Q3HLd8oDHOfMBPwFB+jCeHkcZ
T9SlRrDwhkDfY7Es1jqNkKRCq7pvOVzcKznTLUjpyRu0yixZJMM0HqeSru0ktILvYnKi57Gn2x6w
J/f6IIvanG++bu9YL4UvIFJm6F81qkFSG6sc+O7aq7xknxH+3JeJb1+sVKS3TkWAKNQJfYihcuQZ
bSD5KBT75EXaVC6wz3zC7mCJ4yx6F0ygmrie6R7VkIbkQc+45WfA0vi2UvYJnht+tFHoHjioxB+I
hJwhsqsU5bTZJWUILxkEBu8AeesqBb2YMDziRVib8k1Hwn5G3Ujf8KfpO7QNZx2HER28tLF/SwzX
uqeNks1BVBePYNWJB9kZ4/0V6eaEjf/gEfbdJkPrwTsRyf0Ysz6Hg05rgUyy/HttOeNDxe2VxQy9
c23YeoA5m6LclTJz10YWRYehdJxN23OvYXiuzHNRzOoNmUXcsLIq1kEdDJS0KLe/Y2PgPpQDA7hR
z/kDBOKvWd+BxO64fw5FdEjiqWed43V3cTtZ7141IivmfGcWVS1JzvmpgTGoK7HYaHsPhhoarTDG
e61ZFy9sNXQrsA/NRncIGU0W0qES2tZ3OwuiIw6dpgKdMnTMtZAkzoLDwYZlHC0DNd9D1bU0NE6M
+ozOqAVso+x7VffRfRaG9RqOXPNYRekDd1fOPB6zNLdfZ9eVvs8uLcmPfV5MT0IlkBYkJQuuUUh2
1hxrV5yR85cwa8DatkaUvI6Q1rIrKEQhO6Bva3w1XKJSI9/42LmPvS30e9WkYhskbO96WTrLkJFz
GWYttyt2fQ+oYXLnef7V3XfV3htz6L9jriEpVcfeg24tvSeIQTrJnvsFQ1d4aHIl0DTYxPBVbRfS
LRXySe+jK8yCOAW2vJSPJRvscrodU3kptSVxxslxM0Bc3+Am48wZp8a2YnXz0I8T+P6xp+TQbW2m
qsBSHkPlHHzXhvC4U+jqKU94DUhrOZu0EPW+HlV022VDdwcCKD8kFn9/TDwCLd+nVQb18RsXHONm
jOZerkVhBAb93gXXoP+JVyzLMruYQaIpz6L/58osqiMwn1HxVsg5ZoWCZfhJFOw/PNxX57GKsi/0
io63nsPSBZ0WMyw1LAVXpKz6vUrn/2EjPL51wnt/YYQHGV7+2f/++w/8UfMmfjOJGHNLwNktYBLg
qVffevlv/xKEv/1ILPkCX65Lxyn/8o+at5BIkQV2gB8GPIA1/g8HvH0lEmB/DwhlkTfyySz/r3/9
qfan/+X//0c1lOc6rWRPqt6yf3KeBy7AOsz5BN/t0Hd5rF888HXiKxOYmrOLEg0iC1xiYq0HK3Ky
rVljtORrpItzkEZJgkPLCaoltgTJlCozfBqJ9McendL0Sbxh/6I1xdTewim9oUbBHaIU77aL8Tvs
xrVtWe63GXiXAs/kpwfXKwYqAtAylm44pntRkTWjLfXsppV9CVGVAIjNguHSqE6THab7Po7YSdvu
Q+AS5+QVnLdmY3WrGhPZDT6fTQ/8K3Pp1vCEcwCptfSbYVjpTukl1rxqYV8vSLoL6o2PgAyzdMBt
62GuqNvwJooN65aul3jr6gRCc5oeZ7vALoi1CQMkQdzacz65kFJ1PPYfuMACnC4pfXi9pxfDFM17
fEjyosNQHfLUTD7DVgBpny1At5Z89yfaHU3f7DbZ0LgrFfKYQSq+RaNv3cp2+tQDi2FzIoPpZmQ7
W5+djv7KHL43CO3IMnoh6XlkOj65HGXlPBxK19qm1DpTl94aH24dkOyfnE8wWtvexSifi3k3FABw
bOU8xuG1UCsF4+zlV/YlPazsBLOXIvGmtfT9V5GZ1w70YBH4K9WrbpkOU7sO4zZYBYMxHi0FOwoQ
+qEs6xnDo7vFKc7QUchz3jUsIvV0BS2TWdipxv1KyzV+j06YF+0I+24erugrAFRfyt7Gn1uLMf6w
I5CICdvTcz4AbsaR4H503WBsi6EN7soypu9lEvP3LpTjYnBTcl01JrsjDiN16pL8zrSa9LvbKewB
c0OwJ4YbXvY1l8u0kJ9NPjBBBJg32vCQY4RaWrHFHVIbnXPHYT3iUhuc85rEthL6PkjqS+6b8MmV
f9ZlqvbeWKTHtKVRBx98ZJ9xStPB7s0fhUevVGAUX6AojDe9L/aGXWgAXpDS7n1/wCSPEwlgUIBw
J/BxZY1in+joJejx+Shz/84yXO+ewFdvnXyftlmWL5XV0olipKxoXRqCN7Lk7L80ChVjhggLQWBh
5MmuCqCaVLGKgTs7q46yWLs6KtlPpJngCYNFu++CAGRa5pQ925bUAUlcCG2ay2GkzZHb5ATCr/eD
OcZek0BT9q068ldRESmWfZnFCD8YVTItgNKxBTPctJS7wQobuUzsvCc8krtp84LLr0vZslWB1IS5
g+tEZtbB0h6DittNwghNsAAjwhHab6E28Lzp1gLn3AWsH1tOk7lXGPX3Jk/Jf8VgE/kG9EkRLmMU
acEBJaIynGhGQL17GKMOxiMVN9vEEbO9ILbOrVwiPiWbqDSC/rO2x6TEKBMQHbBqoIs4OELvCyDi
+aVSfGNCmaHfx10wrzJKasjwzlNCF66tYHzbI/jKJUdLurO9uiDpw3GKF8vPDcwc7hpiZfwE3Jtv
iGTlbqes9vKMfqOeIMM3FV3rSdKERAZeldTKz6LOymxDpXkVrEuJ0fQ2ySvefTShZHstEJNrOgrZ
Qpsi0A6F8EzA23JIfGuP5VAWHy3s7HQT+jm2FrsMKJRyYTi8k9hO8aANyX1YacpXCsEDDg3FaRZG
q5eqSWg5m6Op8xYta9ii1gdh2PaXXKTJTUUy5l1VNbiuIpnam6Hu8dMngc725cR5K0CV9ZIemJfo
HzPpPyZyeg2qbFr1VTu/BR7lA7jZiouTgZMY0pjESFXJBwCh9WYc++AttlvOlo509RfL1J9KDBgb
zaF6jozuiiMF5JqN6OmjPAp+L31N8PA8qrcnNZYn2Y25sw2NiFcUF93VDEhD1KJAEL6bu8Jag7WA
ax+rRtqr2mcPsrarqlBHrtrPo3QnfyOSVj5kpV8499SPjdGmoHd0hZAoOFJW1HvP7BOme48aE70r
XGIco0lc46HwreSThb/lLVQKZGsVdG762EGRHr8wEMgOUCaq7BVGS/1VGycLC17qjrHm64TUGiw4
qdXWImCfh1+50Rsr6jG6Tf14lnJO71yD7eboTNNN4AyXOafkL0pEdgmYmBhKOSca2vTR1orprWdt
eGkMM6Tvg8zWY6+L+TJHXVmcx7Cuv1Ykg3fUKSmYMaVv4EkNyncRpdbFQPxikyDDu0mWIwdcKwu+
xpx3IbNjnSay4pHM6ZwhypeRdILvQaHbUzMP6nvEmZLQclj7UDUN4DS9b+Cotx2RJGsf4FzxPQ0E
ZuPMSMzbfBzFfV1b4qVURrYFoW77mxCYVXGCQcFuopqT9bVC5rGGZBwv+1xV32yf6vURR/aram1s
rzRNhNBkgUQukHYYxtOJMdSoWX3GRW+UN9gF3EccgW15qpopyPH01C79e6kxZuvQTIJXusEgl2d9
OG2zJqrtg7By97M2uvEC3zZ4NOuqOFUpmh/KbOQ/FZ3lfdFAOU7p/ANgWc7xqxgNdu2TFRMgmgvc
GWTOVoHti12EKL62Ys/CUmjL/Uj744g98dpXPyjT4BpRkyYOkNNbPH2zS0gq1P3TlFjGLToIqucU
9+hMAr4k5i0Dm/11NVQprpJtMS86k2Ad+4O5WCcFWJdeTgOtOY7Te5cuG4vXsodHsanj2LkaKceI
nDf0iOwQ0hXErjIaZIQPFZIjE4jJ/Q/4tKguKLnGfOcJlhIXw5wR0aHJM8MYCOIB3GiYk6uGESpe
KVXE+aI0cgUNMGBK38Zd6MWntALGuBwrNV4sPCjxwW20Z55Ulmk26CF2AKSJ+j6sJ7DQOjPm4T5q
U695jvDhT5jX8XpkVygCkYkq5ysfsjvHhE0WJif3SbliGz5GUykuGScXVBOqLykVaNOd4WpnF3rB
BKAytXfcz8o7RzNtI90FW0JkrARnJOaVkfX61Ecu+OqKLckxxSoNSggvA2T9fuw+pkC0Ff6LmuOD
Y972s2L32kX3Jl/4Zden0VoKRNK+uLaiWUN7LLM0fsp6ugJykNJsoBsRP9IQR4iL003FO1xjspnB
KZ9QKIJ867huFu5YOQa8rY30HCDEhBHPNk71uwDzOTbTxHlylZzaLaRqFREzzLksl1IIigIyiiON
IHKeZmsE7VzPM0U84TwMD5OTqWZvQbI7JLaOP7nNcbGMOoWkN6rEiXdFaoLxZv54b6wyPM4ITGft
1ufWt6Ztjz1kUYTU1XSV9k4Y2YNVNXjHVtNTUdnykQ4TkJFpFR0VDut3bhjZQ+zbxWcDPXbb5q0F
u8cxcrwpXQSlyfXbzziuOIKBloe6baodXSjcoJop8VkTp11mrc3ecTctyCU0IPx63ZYddRzdeAlx
vb5WaMRqIl2R40ddtnKuP5p+/pCtgeYmrRSQOPAAr2WdWGDhR5zK/pav+TcTD7PVn8ErwJMrsya5
sXfBH8uF4/XdoSqMv+Ug/CcPA0AE/JstfB8b888PM8JoqaPIUHt/6tg/E4DIlu3cuv7f0AZ+xkFc
B7jr+2uBvDSvcJTwl8exQsOW2BWGvR6q4T273uGF1EwE8RxAeZrgJnwrRrQSdmilHfzNo9vXV+sf
yeXfHx4aie+Ggc90++vTTFWcGySr5N7t0maDb0M+2EEpNmRqNR/SvrgELRajnHDhWz7XyBycJkYz
fNScLtwfxwwwtMX14FEJzv16Ok9+Xe+F0yKrmGYs4UFoiSps0EV913cdl6oa1DeyFmUZCy/8nZf4
04j800j8T0+ISdgE38gLe+U4XF/vP0WxNW5UyiSGZq/TvscTkae4ViDYKnNNzjjkHh8XgbP/k2Bw
/v31+usHda4oQUpTOZkKwEA/P2hH9tAdUWh40FifHEgeeSnRDilv9Of2/a8f7DrS//yW8WBQNXmC
/CaXovifnmEcOnZFO4XcK50aa6+zPyG5bkpzkn/zrK4Io18eiI+lR7Qe857reL8gjshaWQ2E5Wqf
YkOTd67VRNw4K8sbdn/9jH6h9Vw/hVc2I1Mkx0Qb4/Evb1qc09Lu0VO3ly5iczJwpIiGKYlPqB8w
n3LbsYEjIi+Cw09Uf5erwXHPhPOW3IiSTwp/Of01FiYDfDGR3k0/zofdj7PiX/+p//SaWKBbqAJH
2OFl8Zxf/1LDjWVXB+k+TxLT3zfBIM9TPTEs/bcfB/ak58GhRAdxwl9ee9EmfRvHQ7KvIoaBVcfW
OV3F9DD8Xk7/f1ruu2GDVvf1d/mv19/8UcNeJ+Elf0hV//i//5voGPiXSYyYf6kMLpPkXcq0j9+7
5M8CofWPH/4PSgYQStf0AliXQWgKvpN/qITmb/bvbyKXhyumkn/53yohUiCw5usXGdEb0gx/yx8q
oeX/hk7MIkq4Fu+/D3DiF1Xwr1RCP/yVaCP4rLrkje2AwxqP98un1owy2oxJlWx8t6bRcbK4eStq
VJzlzARqL5xG99m6yy1OlmMcgb/1Ud4Q2CZ7MhZSSHep4MOdKgWLrcY0TRQtKtsTF47iIU+V8ejh
49rHUz2eRVklR7YJeHI6zy+3/ZSHa99pKAip+uRzdAKNFIluk6xk4iQ7KoSLZx1X7LGiogqOsVVh
9k/ANi0tFc0XMdUlOVf9EA8/QjcYHVi9MOuXHm1XXXdMAs7fU+CZ9mZG8mQommJJSKKYDbWtbNXe
pvVMQHxA33kAvFe8MsHFDziESGeadva1RUW5mYsWbN9sjPprXCM5TAm3eimH7l3hOFiGVr7H3Mw0
1zmM63Vm5TbH46g6T31Pb4rOs3UFxINKhOkYm7JZW/SoQDfr7I1lFvHSHdIGjVVYXyHpTyWLoCGy
6UhNc+AUIv+qBNE6uqyL8DOmPO/JFpmD49HH6rOAxmhjyrEx4kvPVOvQyRnv2S0DHIztA5YaY4kt
x11Kqm6OU401kVNhtPJtajlJvVQTYHlOTUs9tdU6cXXurLjH+DeDULTdVW75zaTeNdx2lBYYC9K5
lJLSst6fdHitP/EgDizKUtu8DtftJVUosVyAzmDDZwsV38hAhYcprJo37JU9FciIluZCTCngJ8cH
1N/hzXwt6fSmBdK0kx2wNQOE99UojgAQhMs8lpzzZ49Y3ILum5AtbhilO0wow2fTVSrZ4MOadsSt
wq0/+DN7vlhgoW8GXG6+E1wLNvlYP0nXsc/IaO4pEkP/iAu9fo9NJ8kQKZCSjjLmo7jEq9t8tFhO
3qhjqFk1pz5VqGHWNV8srKfUnpCiz7dZVnUPlu+EZ9e1DOCH5LtOGUnEc0ltdYtvJKGaJZyCDgmg
mp4x7Jcc8EvT+DY0bN5XgWV1r66f09rdinobTDP/XtuheuyrinVoLMtgWlxDaNg+7Gv4c6Rt7Ig2
v2ArbdN8zdBBC69Sz3QjNPdQQ/XeIcDN9zZvd36QGAS2GoHehePBXFGRA4k1wqz/NebLdf3RCL3O
7Yqi3Zlpn3VronHBfkRBOJOeI4Zku8VkvsQtS39cmw6olZZ60jACU7YIhpq/2iGktAicllKw3uwU
gKo2iHca8OwijpC/C1u/qZiuYorNqId0PmqOWSm941n31fMnKigA6k5v05hVq/aaoo6NXj1OaqCL
DJs5FjnXPuCi4pTtcbqkcCvFKzZP/YvufXgjILJcKBaKksnpBzWVhvSFM5MHruam2uQzjki8z2jB
M4jdctZ0xONgHgGULUDnUpFH/Jfoux89hxjml5UEekqfVCiWhjWQxJll17RLFZctBMWrvIR7y7SW
pcK7fRX46Gixkzb9hkSXPGk6CI9mTmXeupUOrkLDtdWrwRfF2rS201EW27bDWwl7hR5XAy/LAm2U
r7YuvfbcYGKbNzBIEPdLTSLbMhq5kCya0OEHMdxSug0jZqYWby8Jqb/2ph9Boas+83IkY0KPHgVM
RcEhKaTmeI2u79n0lLVPprSzGx3YmuhJMo0vLjTHE0mn5M0aQSMswIfS/2hDbeADGwXGsvRL2gVa
qOcffYUfNS7lB9WKeF2RfusDtxIvX8ZZ0X66BkUfC6MbWNpWUqkbCB7gXpAYZg/mckZ61uiHIFmy
uaHRl+cp/N0QFgkyRRZbHIbNEISbiwF6qSa2IpoTOQfmkqVz1x4iAaCl5JUycR1gVWbHXhA/tXvY
xru6lPbGTVEYd6WuQnL2sUNHlFVQl01wyikY2kPT7Vd8NNvvhO6Dgylre2X1fT8s4O5zcaIu4IEo
Bo1AOk2nVaHa9i31e5MMfRgEF9l09vPsg1egvy3HeZTU9hMLrxZhKgtIZxcxCF4fkyvlVbFz18ig
uhNMIU/tDEmHy4bg4+P3GIk2M969ctXD8px9ifPSndz4ObQGs1zRWGZ9N1vOlUf+wsRZidErbITb
OXiTU0AFz1DY/Q3fW6/cRdTOcmFQnnjk2tSdgFdkt5gf7A30KX81RZAomA0xsi8K9u3JkuoTa2O0
dXrK5sh/oRxQoRtP5V0OMmJZ2G2DD6xOz9BgsC9qyyL2AcMGi2X7PMRm/tSQPVhRqvDWMFw9ymZ0
z2zh7dVAKnnXevD3WrM2vhHGnGieiO1h1dDHss/MzCe1m7rRIzVl/tmv08e6No1zVM90483g2wjQ
ZfkZDchaxrQvDks1V55ccL/TyTo1EdQxZVo5lQh+BokhKoLp+kkonOY9xSazmVjze4Svcoy77Dh3
CXvXvaQjcTcWSn8UCaxzogoZJqOBjg8YLv2pbLClNkqktBt1b2UT6+00oC9GKStRX5TpewROEE+Z
yu8DX1V43mjR8Mak2rSGCvA3BuSIqCMIVvOQ4EC1+97ubnyvLL9gn6LtKrDsKVgzeFhgozrT3Rdx
w8UF75e7p95DPrZa1SBZuuQmzM1uLXv6dUECZSkNbLmxNHvX2bpcgJY1pvFHj1vLBauFg8yqVM5S
LQ/EmkR//66tTGFgckAbcUVI9mMdJThWR/vBdDGWWkOINAfWzD+Z8SgeHA++w7Jwc2uresfeZsEU
3M6aSfxY9deYIJprcSPo0n1v5jB6G6jOvpe+FX7vWtqPuCtzlFjSJIPKZGHsg1M4d0az9OKhKs7p
5JLH8hzeYrDfLOC6XgKjkG49v9jao2OIPd45bypYOG5PvyC5QsuBSc6hGdhxnDzjoki6jQqD2rgl
DZsc3TjTq95TUbR1EqJzMByGWe3DiPqrnZwz8TIafCOrMh3vYWzh283pjFZ2YrdL6fVU7w0GlwcB
MWEraEJ9I1xUXwC9Qii34yE9DK3ZHkVCUeNVt82IsDrzqROtGuniMoYLB1jVLqgAT14TpLIYGMgo
p4VLr+gjBRDtC16j5hz2Wb6egO3fBoOIR3KZrjutvLbjHe26VEPaKf3P2oV/gBPWnm+NkSbyHzyF
jhQkBUT4MNc+q8YPTT+RdV1OzO8ykdiRESYptpib8SvOkCzYhA75R8xYIfQHrS5jLqmY/PEsEaBw
WJPtegtH/9HJJDQLrTzS3rXjEjGomnOgSh8TTPnk5cV9kZTQzYu4P4U0WPCdjehPy92RXS18rnhp
zA3p9CtjHYCSCF9Yx3MHiRp0oSXSWJmyiQicZ8jU7Sm06qtaXIv7sRTNDcNLQf3gXLwif1J9K6Ae
fOSzpn82BzO2xHHs3aLfXmvcCjl9CVL68A410VNWLqFF4VVS2RZ41ziedxId4iMqYnCjlUlUsTIU
h8u48UFw210Q3lJMrncWd65vhtWLb3EcdcN6zHIAN4SHgm4lSt5rAg9Oam/tOiRnGfb2hvhN9qoN
A58dIXFnM851yL0tGZ+tPEzufRwCkKUGfdapI785P26+HSnpBS88ADEVR/cgHXr6JgPIMyQsH8nt
HC1mcwGBbBTvSZ0CPFNukBAJRNZncyTmYTFq27kLcl/RkB6zaErg+fE+F15IQ3jl5vluGDK9n8a2
56JBbCJbFIPtvZqxxeZlaCWrejPt4K6bZvPhGq3cqbpLb2piHZe0VO1Lh3Hvs2+9cFdUufU84p7S
S3r24j2xqR4jMCZEOGiVjPdG6Gpjn9PNtyPGMmFcdijj9OZEfkkYkoH0d3I4EdwGU5ILdqMkxvvs
xEiQ7kSn7F0D2AbmBUvutQWf8N6bITbgSqyaZuU0pabOLfI0AQ0Mw4Rt6x6LQRbRWDdxlmPbYdVn
YI0aL4NzPd04QwZMpqfN0avILSn8vvcxn8wdu4XqK46V8st1ypY8glMWK5yDxoM5dMO5LKzuJZ/a
eQ/NhB0G2Cuqy5xILxur9/iX0eSIAcfr2JtEd+swBveTOtQLL+uizt7LuuiSHUGb+M6uS54CJTQ+
EHs3yy4DrLdOOsLh61Lioiuys8FunHxRMRAO0p53jJPJGlkvGeZj5kXhPRE2vXYDjbetmAcycVk7
ciCpR6c/9Cmp+pXQrjsvYih75BJaE79dlVJoWiTZ9aaclt6ukz1vDcd4s8Q1O1LgepDckd7TXGCz
r9Koh78CkhLrIFggd5VIiQpne8RmtZJEW/Je4AvpMp/Yu5nTzQqLhDUpCIsOU/hnGVj4vaepBM1I
mPWKMkw66rFFnu5DJMtvU5wT5u9yriRGHIWXlsTfU+ldZwqJH2AFkGAmKBZYmN0GyzmVQsJaMsdq
N+Z+v6+GOWnZIJfTM0q6TQcsbLy9wdb2C8G2lJWa0BTyhXjr9k7X6fjFHyZE4dFXrLR+iGb/X8x6
nJtv//Yv759lWq3SHtLzh/yzHuWENrLSf+1wW6TJe/fPP/CHdhX85iC/4vGyUaNAvCI1/qFdOb+x
lWA8h9nqUXfyJ8Kr7f/m2aYPfBVRSdg0RvyHdoXDjZ+AIO2YWJd99K3/jnYViF/ZqraJqAZ4xfWu
2xHT45n+WdBvYZj3cBidbRNZ7mMWu3rFR646TISOVyNej+3Ylm9JXk58T4KAk31ZnmzXG9ic8x93
W4HEu0lqN38BSJ1ytdfixgorP9pPWiYAM+wuYdnVCcEJRpHKUFUhTlEOX2SRo0rs83AWFPCO+iWE
KvmdFl75kmji4QvEBnknfGM641AvFmFvGku3rfMNrAr7MHWjfT/0qj26fVUf8JGxBgF+sI/HGcOo
ZRtXez1Xj2Mj++yYFdz2WeC61SP+Lm3uUcWNI+drLLqem42c2wVONsaD6IlVcLstPcM7irAev7Rp
Q2ArM4Kcic6f02fK2cynyJsVgVYn5nc7NdwKSFxgSlhj25/hVUuGBVjWh66f4o03ivxW2xl9Ilk/
pCezzOC8d3VIjoDW4ZDHdrqL0dR5SPA7nS8hkv2/s3deS5oq67V9lfMCKCAhMbe/9+XtDdHV1YWH
xCbw9Bq0doS2FDpS6F6XK3pVd/2GNPObc8wdzoXyWvoOA3WTEGeGKicLjOx4235IjRqPIYRYDCy0
VDPhlAXmXINADginqb7FYwZ2tjb9Qu2AypOqiWJwRu08TUcXozrxSqAVGIAwFYBcsok6etWFeZ88
ppZFnIqGWntXEKQ6iF4SRB7tn7hbmI5uTOAfgqfTHFIjY3RfBWYPgrMz+XTjPhDZavYJRrVcTIix
ld526ky1az3LewJt6e0G226+py7HGpW2mFV6/Au/FTWCH1Y3uCdsPtEZj031AIpJvGhQQteMWmY6
Jye2wJ1UZkqvAyQM8B0O6Zq1l7ryRIZkOhDNDPC3l2oLvRc7iayc4oS30bs4ZapPsuvw20mFby41
9NZyQfqR4c6fC+5MTxhRY32oBKiIZDZglHFJN8UqleTyaMGK7xT4P45smd9dZePbF1mDFDEtQ0wc
7+Az9e0s0B41b6nfuAQuLSPAmx/1WAeyYBgvISDlwpzDT1pxs5OROc6HRzTkjI8EiUA0grepsgIY
47xRK+lRpr1SA0YwSk99epezAGsJaVhoLLhnlm5mv53tY4t5Cqe+24ptMg3NI32qM00q6dbUibGR
qv5UYCWBJlfFhmyo8Vo7zUiGsTqZY2/svD6k73Ry7jqEzxG1ZFcERJLDxnkLY1o4e9Huqspbqne9
+OKYviYsV/+GeVjfCrd5qmmrDpKWfmE72+ZB30Fyh285O/quwD3kSeWsrdQdCHu6MAfY+6gFB4CE
R3VpyNZCZGhXnG8B741cV6uW+6TJFR+nJ4EG7hJrbdoIWE7BxT6Yu+JCqNPd8hgOL+x95dXg0rVq
4Nftc6fr+wdg+RQ/Rn8rv2fTiDVa0eh/9uy2pNv8jgPB2EXxb4LkdOOymoC8q8y5C05oGnG8p7gI
xqyH+W7EtKv5Jfkhaa6qv13ko617A9hc19Aw6nvZNwbCftdbqbHz3VTytejGPSUUzt4cHBPLZ20d
rQZqxKCh8xURmNQVTefhi8dbu+67wV9pJTHJQFpqaG/WBPEQtYnFpV2/mzCUXDuZmE9+Sh2Qb9UA
f0TSDOdCCOhbXpjdh8IPd2ZaJT8KWA3dJJlEO5s7c9ppIiRb8NJUvCLS8cDbAyoE6eBDTfsZHLU5
Sw5TmGAqqLII3az1xBVbqruysyA5wARDYxV45cJmgtkSwtEv8PFuc6ccnkxOjO8GRVAnr2B8vxEp
kf6W8/XCi23v09Tsh7VNUOQrIpBOqiQ4zJE8E9aYLp2Z5e+NiFriSEjP3Gqeelo6wUr72eOU1MBh
W3O+E0ZW7H303Pu6vKikO+LxmSB2w+4Wnj28YLsedi1IWAYGo1cfYREYN7MtTXW2+TbdUeKUX7Cc
pMM66wPr5Oj8IwyC7sMzsuy1TvrqytucPRTZ7Hx2QHgycFHmCKcF0M1dFEORoY8L2VJEcwseCxKo
BqC4bjmAwjaby3mjwz7ZOkF/zqfZQf4ZEM+YdJwbY/ARBLChPM06y3f5XMxP4dwh9ENQzN58CLbb
SY3dHZdHHNl5MRPFzme1bt00/a6zuD/CVeNDKgyZPOVOxLds+be9JLHvuzIRO0jX00FYyv1t6Xja
u2HE0gdlYFrbZV72KzJoy12bJM/FI7q4kGVon9Zs96qpd1bK6RV6g36Mg1ZSQ0Bt7N73/ewYzFO0
D51YralJyN+Msp8R/31xmRkwZCsLzuNJOeQD12VsW0dmAN8QG+lls3T2JWOf5p4ZdM4LJ/qc2m6O
HiWNHI13Gem8ugq/nVAvWVshmv2yW6BlkBzTW+rQdmAT6IIeQnMrUxEdZJ8INkm6zmLTNrZTVFYP
DPcs5vN1QueY4PCGdavoTybd4JCFs+FlTK3vpoeUued8b6y8iNS7F7TRH6/vol3pEqqk/omo7tQ6
0HocHYykSGzxmjaefvZYan6FXK1YdMWQeis/40q58lKpXrwpzf/kNuaonunMpogT/K9FZ33EqRDu
oUlJvna4q4ibBLsxgkTtV7A9ZjKm70EYfS3oNB4t/1yDiNsWgkvFYESHsraezJnPeUorfZrq8IZp
tV6ZKVg7v9cz6Ts1iSfawDLj0AeJPI9l6j4NZBNXaMOoUGXQAadPOXQQfG2/0MpuWPT4oCbRHIUy
5L4GRi9WWGbTTZ6k+aaUQj9EId/pfqLEDppCsFPsKS/4gvOdBXMOpdpq7nPPGV8yNRuLpi9XWV66
a9XmoDQqaTzDfduOzoRGYwr/QbeyuDVgybgVJumbNU3iODRFv22GUn2XTZrtddaWOJm534xeGby7
djHdhZZbfQ+tGHckFzU3VtednvCW1gfqBziYiPbgRGZ8iSv6aLMhrj+Dsp3PI3nEH4/U+1qF8k6J
JjkXwGZPJSb8r6nEAQe2whfhehxaCDXTYCTnvMBLwkkyG3/C0NSXmZw7Ck5huDdwTCwkXOu/iqER
0NlapqWhQRVLoZN7d+IcZXGD21ERB0wn9dQV4zVCT1Limw8dHK/t+F24Mxh+Vd963+7AnSlaViyD
40DHBAwaJOPIDoUPN+mFQ2eySYPSoQJagO5TLOvofg4klWxPXy0di/EXftFvZQV3QNDaXVF1hFCc
KPEeK6UgldXKtHZxbZxZE4se7BQ83aJmXV1V01gyJNI9JbkyqOez53Z6B5PeePTNyTY/tJp97zSE
LZh0VwV89lXu/HDIqvo9ZBXrlU2q3o8aKIIndVSf5qLm7Nf4WfANrodxzMx187N1BmhZufQ2DiUp
V7M1rpmVykcOk9MpDQhX2mYLeKpJAk5zC8DMx0JIoiSyuHlrIC7PaLzRoWhJgJWLqY1b99mWyr2x
InRbWUfFxWU226wK6O7vip+4iMKgl4Bz5nxrOp+UqzJrGh85WT9VjWguPK+YaCyDsu+mnoaHjKou
DQQJIg2SMAlB5TKW34accIluwDyD5lLmT0wlBaxC6OcfUFWKi91m0HSAGMqbXXFCybKaQCWHVQbm
ceRW9wCVpIu62KLFoLAmMM3rJpq30YyWD85QxW8mY6Rzo1QHF8R0DErXOWJA6D9WWV7cMOu7+aZr
i6sYXO/Bj0zH5gBmQx9JURO+/SmxviLV+xB/M+8Dskp/JLgANADuBzJyEcUI+2GJmwccK0WsOBhH
DOQVfAiA5tp/bqcm7pAq6JQfsajRb1hRNF/LPeJEvgGrQlTcIPW6ntKw2bNq/SLSR2WO6Cvwp068
z32CTGPS7WMR3RNJ+KnxAR3CsjKOI3V864xUtqniBbl9Y3wQrAZXFZscx/+TqRtEfoL3dBzRbZfR
LLgI53tjuWKQhT7wRsxrXe3KirMhvwk42/LHxCC9SSLjIFwGFXwQCUNwtpyERo9NUMVvQaMB08XR
c0chG6Oq6MXg2IHINgBDSrs7rvNL/5t/xdVUb5gWH+wEOYfLyBfm3ksm002JerSeg4S9wYw+GWjh
KeBqhtdRbLreo7ZN1/QhV3F3ZLoM/kIjTOEVninALhjuk6pcZ6RfN8kAK91l9LPWebMrcrEx8/EX
tnKgfPGhI5y0IdByN/dedq9t5p1ubM40TMzOHq04IJlO46LWU4O9PxD2KS3b6DFU+GadkGhzVA9U
hZm4LrCPumQ/FQ0ZMwUGHEqNadiPlgQVHOIOWVO7PdkkoHu/Xnl511yQSdMEZjDvr99AU89GAxuy
7QwHx2BW21uif2/TEqhAHOdcWNIO/trIGAUfhRiGh9xMi3jrRip4zZ1i/AWDIzy3Lmr4oWGWx4FG
vpMyAD3fGZIGRWvmggM51UoeXRWNUIpse16kzXHFxsEMvGzzp86M1DLrdFxiRFnenjDndJxB/bZh
yRvUm+N0TzY+/r3Z+XQLZvLMAoP7OlH+YczrX3RU2CSGllzLmDIjbQPgoubwRzBHEpxOTf+GkYUg
2RyWCJymyj8mn4ET+dY6XVVNOHzyZCVrfNikW4oi3hcIgftxYquWWM+PIg4i8IliPHQ+KsHKZx62
TUSjzlbEms8qZOrXCO3/o8qDZM/otC+3BXOHF5+Di0PyvchH4OMgMf9PfSu7pJv+B/XNsqWP4fP/
L78dfjXTrxKX55+/f91Sj/yPn/k3Bc5DTMOzanoEOWkW/icFznP+xXFt18Q45qO1OYux9B/uMdv8
Fx/pjQbBxR7m2P/UsoQ459qYygJrcZctf/K/MI/Jv4Wv/24DJVVKYBXuoORfMf+LYvTMYtKWZRCz
0sHw7zygjWBI57LYUS6Qvkd8vz4kYPxj6eY8CLTacWgeHaYhWT0ckMACYpVN9xQwT1vwx2nwWnH2
eBe69G7zbDoviQzbqwbHcpywTXxViWFDr4pGtOUGeHYhiXb7BGmmdW11znc2zgLqR913Nxcu5TNh
Sp6UhOgXNB7F1dB382eRW3rDDAFnCcf/+7a2M46Ri4EqdguoZPC5XRWmr0Te2lPDAOuVPSK9Yubf
JYhBgHGDgX6BmkdrICKapp25cT0C3jLzxdpOuVJUuR8yFZWM1hl5RECi7HKftMCcnTHLN3bdZ1sb
q9cTI2iPUQiFbT324Q0Z9I0fS7WaEte8cL5XVxvE7GnMTWcnEXtujhicZeCdPQ2d2V2rji079dwS
FLrTYtxvLeaI9fCYl6z/QIohCuT49bNe3sK+yYmejvj/xz74sBqHtmCjHNjXBZwDUWdUwtnNQS4n
B3wvE2Onbv4VFEyBOBFDL8Q8vRExfMdu9vJt2HToG44pXsJM/WAPV3JTdhDwCIhk+sPsxui1GyL9
PsVh+xyEffjHmp3ZWzEWUcMqqS0GupPJ2OlISKpod0xjzI8ikIwhHQ5aSFizN36mU63hqTOcvC/9
IbwkfjGeA5Ji20aBcOHsNvtLo3kQbMiQTc6a74jhrw1YktUKpyLM/qEvfqxpBL8xWBA7zAp0cNNW
5cUuHAMlRtZP+cTn4tSFuW4T0E0j4fk5xlIERs6+ZiCVQG2X3duYumQr/aB/84Y0eeXIS+lgbTxi
yVPndNDiB9KrXBUAFHDg9TUYyTSaxgch0u849j/BGYRX1cxQlGBQn0Vuy02vwYCuurSyrCW0xX6J
w1Jeh6FPH+PKt+CXttMJxot3Vygas4yMAFJJc6f2ouEyUO31q2l7kAzC0Yco8UGXT2qxJOZbEY3h
oSI1hreOpO7DMlq/052edpPrjidibvIjthuX0qF5MN69RCavkcqzY5lp/Vlgdf6lQ/IsMTesTdX6
/lnbdbtJAk37vHxIRqt+tIexWAd9PvxK7bp+lSMc0qbq7Q81qIjowmAvY73Qswgok/xyCpTbDf+r
ukWtDFzu9050Zg4HeMZr1J0cEy4hvlJvIUVxoDKoQj6ImsgoYzCV7dKQHtvBnFJkCNAfkMqtiIBw
Yd8xqWDjI/LJ72sSRCawa+lXDB3eifv0tOG2VV1Dr0ME7lJxlwDZu6qyt7YM2ptTO3gN+T5uysna
Vcq9ZnEEVynMuUQQ5LT++O4Enhlv0VVYBD9ovaoZa0oBvWxg+Eu6t20RJkGk6Jekict6b7m+mVM6
3GfeJpisYFPgWKDPiO7YM82FnK96epOugvqJbZXb5q4nSVsSfOxMuVEkS2ksTmO17WxvSHYzuP5b
h4IGaivw7A9cvTOtX6NL0WMmlyzaNEc4EXG+YKFpEoy/pwbwxAXkIYxvJ6YahQtj/zAaQ/ndIteM
nL4j8ek0cpSrUrXxB6PsxSpgZ7BTvJK5ISBm0XsfU+lg9ogN23/Btyxv5If0e23iKDsl6EAuc9pq
OhralOUe36JtrbnoG7hlR1ExalHee89swt8Gud/cm8udwK6mZdHGxcvCiLxGFBpq6K4Xw9TvfWEu
x2cRGB9uPOKEyiogdyumJOQrQTEU5gFqn2rWNmTim87TOt6OY2eP20hYjLpbQ6fNfkKLY2IjZPWU
uAMnKu3PXG04oLVfJr4L3AG968bQ76TonlRsGmevmYtdXyhaPJmFIkunNSASMwIDCuYx6z8S2L1y
TXwcdo3utQNHuZ1ixDkD46HZyhDmaW6lqLe2ZBTL9fCE6uIeLatDAW/x5f40hlu+Mapv9/gGpnzN
PArxhMl1/phkXvjWUxRwzQPnp56M5pdMgkcHfm61muFqcVPIK3eHZyw49bIfPyd/YLrj9IP76fRm
69ORk01H040AwidezmwKi99jSHW5fx9loYF25BQW9jiv0bsgDXgBjRd3+4zmUmflcsnXXHOK9IWp
xkihO5XIJsyGGmUPIx2nVbxjmrn/H8tnV7EDPXZrckn0JsVaXo1saHFGO3jIV13Ry6NhkLtF23b9
d4Uq9AxYNTvjQRGgbGmLGfES4Q7aIycP+5D8/kvP1eOaFZLgUGaYabItiRG/Q2vmd/ZItpywCDkl
ufYEAHSL8Heq8K++oVwXzjGBuabWoQd7am0Hdg5VncjaJSv54Aw7B5hnmC2/oByi/Ls2BgwAtDfM
N7qYeGK60Mrf0jLvz6yh1i/T6qY3ZnW0kpQOzoTQm1PW3tLG785fjUBfjf1HwM8/tAPXIVxZgaa1
TRofdc4OJSbGbFgs2PQAdeEuK4PXaB6NF1MF+YNjExyF8Qq+Le7s4mrnZYj9lwDgHxbd7g7sN7c2
JIjudRicqdvgQak+jaxSR2g/CLq1rewnmdDyASU9M75KAnfAeF2zAb0f0Fu0FqHPUYGBRv4ridWs
9sYwYPIlth/AeU2qpt6ngtLZrmiQHkqz/OPFjl+8WQDjHai22ntMcapGO08jWDRDCgWzw592H8QW
4fgOLBP9ipHU5xB4z4qmmvhBdzFiRetrUuGkMaHX5V98Vtx25tFXr7rt2AWGjv3dsebHrIkNtcoo
7sEOW1vLiEihkBpehlQhasN8VdT99mtS9t5liGcKlcbQ86JDlzRBD1xcoAxkOK66TRjL7m7pPeHr
6Yk2WYssDt9Dd6RsAIMVTo+cdxWChHrt29F96HQSgFpI+NzTBi4JacT5Oo8mK6rpO+1jb0FB136I
JaczSQ+4sDN44qOkOCZLRQvOSbteO+xwfDPk5JFj7a2dVVk9lVJDlmzT2QTpSwKJAoS0Se9cbrvQ
EfxSYNrzqlejDnCnW0wJbm4z8o4EeVaTaRp5h5SjEvxMkf8rS3L7Nw4Pfq0IZiF20VHz/sYTtFTH
i35zO4QWm/fBK0h30AlzbbD4deKWzXZ6zScZjhtD5vM+1ak8sNOqjDujxQinSJlR7SuS1ZcQl/p5
dDo7WDNk6dJNksTtJ0bbmGg+0dufXAXFnxD41UmGRvTFDGCa1lE7Bxd06BtGbfM4zdh3/s+y8W+3
vP/p0shsmqjnf3NpTIpfv+Nf+f/7rwp6/+2H/3F7DP7FNH2cFgwSHN90/p1Q5EnulVwnWbBth575
fyIU2fYSS7Jwd7i0XaP8c7H8R/aIi+Xf5m+8DJb0/v7R/+L6CErgP6QIPQcDiRVYUL1witiWcJZs
0j8FMoXHuIh5FN2YsEA2+K6nGkIgRAiFCeA330iWKzMOXnUt/b1raJj7TthtPJ2GR+HW4pttvDyw
6UCLwG3RF0Gxd6C2fdJJAyB+dhXjlS6rf9fM8BHO63ad6ym60RwwPvpBbOyqvvyLeuia76AMp/0Y
t94jE4dEb9FfHGyHVeGsSseNdwBEdlPQX5PUoeXcBEvca7c71nNExwM+18kqKY5SAY2aiP8qiPp3
2kyC78xwe0zi8RTuGyPsd3ZpgTTI03z8jvBGf9KV2Z/IWImNdMduP9MbdsDuAoVHmOW+HeueeE8O
Rzvx77BM6O2E0fpQxaa1qXGWrXTtcBxien+vXXpJg3SMrVUBRAUId5nOqzlM1MtABdOfpE7ca2ca
9qn2++e5NQNcLa1/b3u1Q9W8BNQk3CpkLU/gx1LB0TTeNoxbNpapSIe9P03jGsExe28Zu5y4wHan
MhO/m7CgAjNLEnyCNIwknt8+5cB4oTq2oL9RouQqyrzkK4aT9CbCiBFS0jqXCPTilxpZRFdjK42f
YXK7a8GR5r1iZ7rygfM6JXSgsIbmLE3nppEDoEzSfE5ZSs4V1PR/Rgd5m3McDs+cScKpzpZYPOsm
ow/a0eacyuDEZpLCF97hjTLKJ6cQKQNNNEz6hM13WhPYUF1yMAG48I1CVV+u3e1BiaTeaDvgpUeC
wrSok6thkIOioNhOz9IIX32O2BsJEfSZgH63Glp2sW6O7Y+RO9ihFz5OUccrll5aMOiNzzTfJSe1
aoQuwGW2wHM9sRGcqbaFjP8wXAw5uZVK3ixrSI+gklZ86OZFdWZx0dUcfGNIiF7GwWJQhSr7Oo0i
P/lx6D5rmkPZ/Meg5sZr4KVXpnhA3TBLpFWDjp7KaYiKN736biEVBg5Nm1YfqR2BJHGbbdrJUu2O
mG/yHp+G4FubmEH+knuBqDcj0fOdUfCeBallboym7D9nGVdnw/fVI2dm7ww41N9N2mxW9sgE2FlK
09BG1eR5r5mCe8nBDjuigUGmmdKNllm8h1tfvlhUTd9iXl23lsyeMcvCG17VcRrdAAFH9/ZsOUsi
cBmEIdVGuFQac9/aGmE7NKd1D9p37UGl+O0zQAyQVo36YMjG2cEB9mlByO7nvvrdWuOJCqV0bZh6
I8zO2DWVvhYD3T4+sw/4g+4zA6kNMUNxVAwpIfPErrH5p7X6vwiE2/85ccmqJ0yHddqS9JOT5fyP
qx4dnh7MRZYDLhMiXg2yQqpV9L7GfB1LdeGIL9a6AF/Wlu851POY1FLT3JzZQj+mK7A/d/MA0aWI
Sf3EZX4OhqX3EkxIdoGXUr4Tcmp2racTGyE7dopt1zWUiHFCzB6Dv89z9vfZtmOIDseS58I94k+z
T1pOENP0YDvltneM7PO/f+neYhj8p9z4gqETgbPkuQmdumw+/2nFn4wOITGLzL0lI0Zv5POKzH4y
/PGTCG26siqSHBIn/8VrejqSodcBloLCyLehUXRJGJFsrK2cYxzg0xxChRFSb5o0H/5wUoye42Kc
jl6tDw4nv9qe63Et+ubTx/RcwYfdw6A7iVz46yxLftf1SCxttor7kZqlI4JpvQEQA0nKauOTgJUJ
mDIb4ME3NIaXQ2O7RNfMjlYcEp6hpgZzcGlSksFY3PeeDj6BhpSf02AOO+3SjiAgiN2IQtU33Ovx
LtZWsa867b0DsAmPbmGH99MSXeA/vV0z98l7atkUjA563uDy8Ldz4co9abh5X7ma2aGvp2MUYwFa
afqsd1EnoqcJwMWA0x8rGb+2RoDM4l3mBNZ+yQhRwAL9OLchpLEHYfVo2rB57QSt5hF01FeO+MGm
5orz45pBtEm6LDuDzCU1p2R65tIWuWuCcPLV6KS4C2bfeLJbbN8MkyP2FrJJf6iTHV9dbFuv0qvK
e2rBm3uf4oWTORfWwbac+BLWZnNAuTwWFFp0Q+xvvKrpgBm3Ywf43kIg01o/jLrIblQ64M+McyuB
PY4qi32aErCpbp56AUQG0YGDLmXwXw5TqOcqdKqAdPBL3KX0AXezpJeha7GJF6bS1xkX5mVuOqoK
43Y8l+BzLgWlMXid8uTiSYrYV43n27vGIhwF/pyomtkM6uIpHd6hI6gHF1GbYbJFEkEWjPckhpRt
08BSC7Af3fc6rq4udtFN3FJdy6BXnYg30PqyrCJ5TdSWFmXIUzgmyzvadp4wma1qjZHciKbr2LoG
ORwPpg3bxHpiqWqXNStyWb3CZR2zIyuGU2oYP/6ywg3LWpc3wFR0I1YOE0/wOLncz38XRgJJLJKs
FA6lWqyczbKG+k3MOpMnYmYhiLHBi2W9xTZVvozLGtwIZzyVumLNVYJ6gzIc6AXUEyu6VdWPg1dX
59m0+k+JuLWpIG5xOSe8XPzdGNJlj/CW3cLKLZx32bKH1HAbjIOHQJSsu79bkBkoJPLAmDq0Q6v2
niezknetyp2Q/Bv7GpoZndx+ZWVy35LaOBmDwlG47JM9JTkb/CHsoKWK/C9Ngpatgu+0zT6VqDO0
3oE1lBq9QxUCOQrp2Ek2zd8tfTYZ1ke0/8TYRpJhZ+EFoMCj5SPy/p4apuUAYXCSmJcjhf/3cIG7
jC6w3pObeDl3mBwfwyCuCbIs/htyaP6W6qzxTOqARs7AGI+hxNEJFbrAnaTizYBV4Jj2vehWvU+6
xhoCZ12SVxuXm152laJNj3ZXAbeMCvEWV65zAzbpP5aTFRarhgjtDqk9+FPPStyPaHq/yQ8M90k7
JS8G1pKnEDGp3URmvyTeYoMuL1rGGBk7CZfNQONHJLVxcw27PzR0J14502F10TjxF4SYkPcFqLqT
ClVx6/qBkKnSXvPFJPrdRP/cUNm8CFt0jFAs51sElIf42Yt44dhSxJHYFwz5GGMk8El0LIpuCIUR
Pjfu5Uz4z3NHOMhp5d5DT5JrQtR8P2hYfyblR0izMpv8aBsJ/ZcFZatA6gafUmFL9es8GNP26iqQ
oe6gAzooE/NrDOb+t12VS4AKzx9mIx60ndYzvkYXtYs4M16HtwkFew8vj6cY7kxywh2C3tT4ximo
B32gy288EUp0/xKNAIbUboTD1TA/rNG/n0kYP+O6xDJQGUDLISGfiEPSxKId332IJ5F9pjatabAW
pb2ym6L7itCSPlXftVvTc/JtUGUk1VyKQAFREfMXctsVpXsWKuDLb3hdzlZuJg9GvbDr7bxqAR1y
Clzaop37hJcRAh1cSxfrVKXcBRJK/N5A++yqhNs4BwBjg4OYsXjS1duFmPJetZlzGqa2v4IAxitq
oSZraHD8sDcfPRFnvIClUcTnwL5lPONCjnJPJGN/cKh9TSP1Y2xgOReksCqPXiN9nnaMJKsyraNH
lP9pz8rDwTrMzNeUIjs6XYtXy1Hi3amt/jD0uXrTUqZvYWs2f/DF43OF3nUYuvkTj+qr7VIyzJxM
ukfpVFewAHcpCjaH/rFf9zQJbmkpISQX5vimt+ZAoSL6ceWamE8cdfTdjn03zOQJTc8+zJ1Kt1ZD
QD8x+J6asyPOozYIncZu+BsjlbOPXD/VVDEux/q5HDkoj5g1wDZ8930c7gmcGDsXd9klaYrkjDst
ms59aVSPgLbFc8z9ZVwn1dj9GTIGgWs7a/1LWRMOJ5tsp080KDCYmCEgrdIio5wzdejZqxjlBKmC
TmmE0k02XtC4/K3UpObJQGm8p5qTwG/F89Py2oc8PAL2S8+AUbu1zwudcHwZ4D65jtxlLgHnEtvt
lh7RlnzDPHJxsrEPGOi7YxCIfSL590cz994LToIJlpkpuBZBOeExp/LHtnrvk2i6taepNV0R6876
VZFPPLXNZLpcQ+MUr3PVHtO8/WA6d50982eZUm8HK7R+dYPh3TGxZXtUzy3saiQ5SNePImomMlBJ
Mn+nzJRWduy/Fl3Jobpnb59FaW300Oi9b9YUR8f2uDeX4nBql8xX+BC05gK+jrGpDg1LEt12kSPU
g/LCAg8sI2sDvLnfPSNPzM8utDK1zkx43gCyLviRmBuSVsjv87ISV/xnWAiXViNGSIKGm6RzNw7R
onJP2M54IjVi34NE0D9O9hW2dKhoNdLwEc2xS+3e5ByaJONYZJTXAnXPMWta4ds89DBzpXuamcnK
joI7xtgam0J+T9gj0l0AMxIbyEQHhQ48a6OYSXYaGZkD4bkToFHN/t3PPqv5cYoj5H0UvboU6U8q
o1uWFSWWFmU+eDKsP/h+sXkxWLrThEbOeVyqd3MgWoheiQpBQ4ZBnRBP9McsW/3iFoH9EZqZfHMZ
JK07gsLHFpn8xE4QX9w8NNb4KCn/CnMqgEEprIGAHLslhgpWlE5LuKIPTHLdR8qKp0/iejOtEVFx
bGYHeHLqOvTHQm2lRhXUPvupN74j++GZLKHkr8G3xQfKmwuKuqd66yDvMkAOxifRh2ovDTyrEOWd
HZSv9OAAkiN8xEl2ysNpOyTWeOAMaeIGqoiHwkoxw3uZl+ro1P24i/Le2WZUjr40CSe/AXcaHv++
xmfVBIcoz2PgAAnRRJqu6C+XBYaZCHfTgDvtvR6mZYI6RhGpuOIxgkhYriAFz7th2XCh/jOMs7KX
nEjrCTxdv8ffxoEso0iJ9mDu/Hgvnok1tNu5VxVOJgIaK4YzavHVeGLd5YaGVt1mPIFZabJgA54e
1m7Pk8WvUq27oOAnho4o3RSW9utUJpAPGHb/VlFpH+KMFSK0C1gEHdxFA67voRSo3B3FAyvLz6ir
T7FFbkgb63WU0SbdZ4yHrTC8lswtyiD+kggzaWYeI9BoVhzC0WHYJDJc2ETbUfFpe4o9UGa5nKcT
Cl+54fjwyL18LYJc894WI5UaRlhcY7x/ICwGb4NOMG+TUULeEAl96Tgkc6A50uMtCK2jbioLdPUA
80e05U8c4sN3NYQr356MNZx/S63skCl5SQ3Zt8ir7KNMIIqsYCWEjxSbBSSA3Pyeu0p3dqiJOmKQ
Q1lirktumCKYNcWM6qNwlza8f+XuzHYjR9Is/URMkDSul+Pu9EUuX7QvN4QUCnHfNzM+/XxUVU9n
Jqaq0UDfzORFJhDIiJBcpNm/nPOdOq+OGERS+r863desXvZwbPKdNbbNbSnKbt8lhB2QakIwjwtd
xvJnlqKpseMNE0897dq11xBtlmxyg6Rg9hEjfzB0pNh9mh0r076R3V55fJ5D6b+hElmzOPTuzXL0
GZC76TO4SOvQZHl+6yYdzEdewUM4kR0mnGn4x3T7X8LozP9bK4wP3GNbrPum7v8NvDSlpRmGlvB2
mlJdgKDW+dVi0k9WjV16PnEY9L+CqEFYjiWq25b1ErLGuNaI58nUp0OYeRvklh0HCvA3u4VlXslM
Bwb7gKeJ7PB4trA6/Uw4dcxChBlJBoSqcrybBG8RaSx0iNr6p8f/nzZa/r/EA9MNRjb+v9VxnZK5
aj/+EhUA0uufv+0fw3hf/IEUixfPs3+EV/90UvrmH+bik4ehTJ+JkomRyH9SwCyBRoB/KLO54XhE
/iMrwPjDtxzHhtflGfxehvT/jUm88beRlLc8h9ytuDVJHVjyUP46koKOREwUgOl9ORJshvms3k12
U+ygfp5F2/mHJBzfEKhIMDzD74Xsfopsln7/fjzk/4y+/qQn+/k6GI65tuuyjEJk+devQ/gRkOUq
HPdO1uV7yBNbS2QM8jlpb2HrWM2+ca5hkZyHBKm9WuI3TQikacwYoWnF49C4547c9u55JsJGL3HK
YYZJsD+RauBtJsc91gaV7TSC27b7O6ZdO0DOzQrNNlaq4Qny2a2ysUCEZZAW3VVm8gJy48YU9bDS
nG3YFS9WQWgvEQl467LHAYxXgOfjA5RTtdEJ8WOMz8BqpUdtHUj+og1JPsri8nrtuvpRKDKNQ7WH
VXNl0S/YhBKCyQfbCeKhYgeZHDhqslojGOjSucUnaGxt6ghlniqt2joNqWMecPb5HqT6Q+NgJ8eB
BKQBNRt8jIy0Zrd5kNJ+8zA8rpTMzr5lkUsVjWBhuHv3wk5eWD6eWw92uLR/V3Gy9/R3rdOfXAic
Ue+eWps4x5DSsa8CQ2qbyTSbFQasCL2wueZuCohR/qzy8StphIP/SRAwnznfpj+Hh84240MxiwKT
1sDg2J2PvTGdNG/oNm6E122CjAWk6aHIo0Or33elu3Z0gXDZmh4aGV0NxG6cYimfFqtq4syDBECI
M900qXgqPETCOA1WTvfQlPJ7JDhMdvrbjH5V1Tp7+KlG25tslZ0czYY06EIi3gorchD8p4XhncGh
d5C5sBcDvUPGmNLHM8qZ17Cej6Mj7lvXhyvsDk948jaG8VUVxbnTx+OAUA9YW7Sp5Az6pKfhhSO5
zsJ848ue3pDJitVjtZf5K4YlBtjOU1Lo+oqM3i9GuCH1cLGpOowEpq4FRQpVqWe0GdLcrJS66Qkw
c41pDWvmJS2MR6t4cfEpXFIsri9QZ4nfse5COS6bGMTqLfT0A+38BpkOuXpwq5py38fZK1D23xla
JzVfavups5AGGQ0+DpOy0+zdCt7qfKij9MWiNt4PlD8ESV3nkCW7JH/Zgahji4ul7lqvPnF5rbs2
tleVpapby++gU6DOGJz42sswxw7T71kxwnnppb1JSjvbe/F1jIzbEqR/6x867m46WtpLz78m5PUx
wpYv9dzv58z5DGd25biqV5lmtKfGN2BbRFm+ThzcZbLfdF7yaefetsmuLDPZaRh3RVEQAGBtc31+
xiG8x4ACJ43Fyjw7LxoxuBbdO4+Gu9FjsziIBYcPAmNYh6NzrgYD4rJ7Kc35KRlNG+yY+5agKVpn
iR04s71WSiABkhdKnh3WynWJ1+QIKTuImviXM1pXI0yX14lpqD4A4ejtS+JHB5n572XWAES1v6rM
OBBjdKd0uiYLnMQW59HeLvHs5I2WbitXehujTe/haBKNFOqXSLhoXYxrCxhK73Q+eXrXiNRsr05O
WP+njRMKqh9cPhiWENM79tVuwzsakgYkWP0IDmk3xiHqR5v1HyfNZ2Uj0VfOc2EUvCtdvTFT8uY6
O9vQ8sPQa58IIb2gNH8bsAftsWfE69r1nudJPbgTWXvSP0m3P1ZRuBqL9lHX/Mssmrc+t99NyFtD
Fd7qQKFIJXvJFDTHvub7IGtaaVXQjiqY3cS8V5Z2T7TCQaI6Ip2vvOmJ+oBIyE6xsSq8KMRE7V1v
Oiz1nmmK3YwfV+CaBIT24UUIHyYVHog9ME9NyJtfNkSZG433G1XEs7QlY47MChoUjSjqarLd8i5A
YYiP3Cj33ux/mANKzKYju9Hv9V2Oh2FtptqTWQlS3Sm8eMPOvTJeGr/8ZFFFW1PAgUI/+JEi2xt5
D1dxP72NfngtNe8RAtSSyI4fnsjWLnXVrmuzk1mhdIys302k2Su9jfKNkUBI5GPVqOCzxdxBQAOd
D8Np1RY0y5rlrYnMo8mRYSD07MirdwDl87N3ubb1iMEvjrIAX+4JuGi5TqLkq60If5nze73P6a21
6K7Lh13j8jy0Hp9kFrQLuNEXh2q2boh5CcibxTAICddL9hXYJV2F+FTeBpE9hUUXoD7eZRBpoFyR
Uc0hpFfhtmdCUrfOpq7emWifiX5+GVvjIHN/0+fWEQ3Pfhqx5YtyY/hjDg7LOegJ5K+MeULmPuCy
3TS9tVfJuan6F1UgVJ3yvc+T7uXGK5EyF3Ma99myx3P9XdKH2cbuwv2sxfNGju2jE/YfbTbAuUIs
feO0WE3bDYFCtB6CTogEmnwge/xWkqtR4PQijAD8wCxOKHy349Lh+ymvvGa7V1vGv2siAyF+Va5+
ieV3Mc5nnbUIvuRVq4vvPqyaAOjMZsjJShUuNufkOzHLrziyLsLpz8Jp90kWPepqCnQ0gSu79V89
IjPS4bsnpKtRHJ0ImTu7PduN5CWsXnlFnhtlY4p9H73sDcPge4R1kTC320EfLjj+iYW0OV7C+GRz
aM3GeIce+cad5HnAjqLq4gJX7b2IiNlRmvXpu815HMx9JdXJRYQELkusU58YeEFipjF8DPPwGoPg
ofkjRCH9NbflJ4O7Y6ydvDokqN5cMde2wR/Up87p1syt4eV5ZGE8mMWN4FCIJ7TpLwvZNSZLByM6
JhXmPOI0p95hIv4alf3v0RsDkWM6tECPWlW/c2Dmjcwy40w/VYvoMGf7HFnZXYvTcpodFsPjOgaJ
RcbMGwEl+a3ZPaVWhgRe29Zdeq6ZExpTV63EmDwzo7BXGu62MubbSq8uI5vB3eUSsEHRfVm+PMZJ
tke0BzbUvGWNb6wWiZffJEHUocqQxIC6znMrW7KVBgIALKhx+Rg/243WsTDomQKmBcZex7qb4DKu
nRjjPntKCpuqItFqFDCC2pssJfq9R7taWvaVueJblCoCjYYXSH70a2TkuFb73Gb1vprS55R+07aJ
6yFJOJIUMzNBjuZq4ODNQm8t7OK+qTFaht1OGaQHjRqE0tM42SQmxPLW93nUAWT60zdILoLY7/rG
v5kK/xr2ySXtbrREbZzcXct7OcfbqtvGTnlpwqrbaGYr8dzH3B9JoOnD/cBVtFGkUJCAOPtPKPtf
okm/Twad88DbJRH8kGwHUWs/JNZ1zrxt3Q63Ui/uRuOKizZANDnOyTtMArSRP0RfAu/Sz2nq987E
wLSGgaY1EqJrZ6ynxvn2y+eYd1NV0c1kRKjpSNzxaSTqZpv0t4mhYKZ5jw7Oe49wmoQYaV33hw17
e4yl1A+D5r5kvahWqnlGSxMgYTsM5pH1w5pxKBQFSlIZOjdN4TygshjtICJ3bGIpmTU+U1XyWPSi
eIp0WIMlmvwb3y1uByKnKS27+cYNy+xUe07xS7NjPyijuTqEoWipIQmeeiXWsnpuWKevZsYT65GQ
PWagvXf1U90jQ1WMX+NUZYGFC2zHiJveYXbCcR3CDDE9wrUq6Dm/nDKP7zxROEcdzCrijswp9r5Z
Z8+V63tBToDD/TwKPkmtj9+xXJOukNTMGVPNRn5eR4ycfM8c1jEjTpa1DHxknhwMV0V7F4fFb/5K
7xeL3PlTKxxwl7bqd6GeGg+V04qtQVLuxYtVe6OXaXHUNbd9oN+jPqYwI0+CudZdw579kd2WRAvS
cLek8QT8o6uP1WhFh0FT5tZtI+64mSVSqAzvEDUazsVizP0dVOfmVFZpFHDX1GucljPgsLpbpOvh
Td4O3Y0/uGzgMhJAnyX4sRu3AgPXW66BD12dKg8zOks4PX2ovN591ltd/aqrsjni3GOP7czRxZJz
9UaKlk8yatk80ejw/nhdVHx6qTMAahD2hHQ3Ti/W2NuP2PbISBK6uusmvz4bU2vfj1YqL23lx8Rl
PI/4MDpvZH469/I+rAzrSbMsNa7KRJnYkrRpKxuS3K1Z5nft6A5nTLDureLCfI8ha+4LvEhHg5XR
J+iK8oobsb/aRt9d8sEgUClRNT0ku1w/AkUTEwG6NVQZ7SLq+pUj2N7A2AJEEQK3rKy02LECqnfF
0mCXGeJ3bLjYobJ8YlIjYvsF+QKZDhxP7ynwz3MtB7G3Utc4avOsOFOgHxd5cq3ku4yZXCVQPtF+
q4tpkp6FkV+NDx1PpgJ52TGhJ7yn3IBl/WVD9qHj7QY8BeH4GGrOk1fOF3imb06S430tDlBN11ig
ofH2yV5zJPKsNEjYcgS2yxAagNHG0vzAVty/uvs6aQ3BmymBY4b1xW5nDQTxw2ozRkukPEfZljVo
UFK5cTGQtUsiKckIZy+ydIR+7QuegEfw+4cEv2NuDRukwOs4FXzF8Jqys6m3z4bR443Uulc4oGh+
ooSKsnAeR2t8CjXjUmOzxYjJlDzObpXUDpGnLl4SjYfaaKyNTV7bvihHoohnwukY5C0kO8DcZYDp
4oSfGiQMbq6sS0Drmvip2n5bdpq5qYNueBniesG4HH0gtYnvMZouv+uye/r3ww6xSCz/pIXxLIek
QjaF9Jo2zAdA738ddrCjomKynQkB7wttfnKc5SAvckK0qBm5utGdsjnLKprvOJ/i+ylx7Ecj7dJL
G2IiXXVOObJnGItP9+dVyZa3Ri3vj728SfHyTmXL29Us75nx88Yt7x7pt9nDJEoGKBWvJtpqg2Uj
b6ta3ltQfN1z+PMyywhW3ZBnGL9D3nW1vPXe8v6Dl4kCmN8N66aO5GoIQdgeotA7pGGmNoAXwitm
HHNbL2eLsZwy83LeRCEnj96Hct1Yk3hc1Bcg5UAnwKKOsVynVfegV11x9NhR39TINi7RTDfmLyed
Gdqcecvp5yznoL2ciBA/jN/mckq2qk8OMUBIv8YLkv0cpsNyrmpJZAY4cDlsh9yf9irzCICsqTNq
XWGtSCHQx8LMnkcR0zBME8e3Hk/OsVFTfGf5lfELUIIMsPutRc1W0fm5BCo0grtpuRnYCYxf4XJb
VMu9kSa++taXu6RdbhXmOdWzsdw02Le5dPhpVofI4SZqljvJW26nbrmnQsB/Bymr22q5w8iPQJvH
tYbNgS2BN3fzF0PCo+f6BIA1ptE9Ty3afU8N/WIWzFl92y5DLZg86g0kCKJWJbx0W0cMoDKezWBw
QErMBQUcQblg/Unfdru8PMeAzwKzNuMzfi1+PW+2NU3b3sFZj76/dcMP6yfzs2JHS3OzRIF2tk4q
aNL//I2ipc93C+KQuKc1EKReVZIo2pHxfK0Q0X14jWmSvcQhsWN5QL/qGBaVQtFr5bRCe5Z9Cr2+
Ix0egAKSRRKCYmicdUu3sB5+0oNgiuKz7HEw63Ytg7Fp7mGj6vtJs95aHBmrQWeEn8zUlTOPLxIu
+OlKBiTNPaZp85j3cRFoeII2+B2L86SXfcAs3P9NE/Oiebp9EtgHg662nka07+tRM/GoFmPGCRt7
a3A++b03Odqtl8iMPTp7HLZwCbQV9C4OgLab2HEeEyN99MhoB/XoZ3tUdd16KPSbSBh9UI6xjLeO
HBeaRp5tRuG8J4bOrMRIsKZq2Tpv5piqOBsCLEy3LfXHair43yceDFj/46s9GCxabLhmGGesddZW
5q5RRC8jLVn41daOjEvkE+VEHLne2FuGqYxV9PYjH2CC+QwUdUcumXHTU41iC7Zw+TDBGL+YpAnt
rGEA5RQB+L2NXQQseQZOp8c1C0zEMHYCkvXWc2c8JtbYbUeTd63ymGuGXUUHFil3RbD1+8Ty5aCM
LHlN5vLdNnIqCLtud7nr9Tu2lzBc53zgsSKEnoUNHC+jI6S9xj2lQlihmGPYtqW2xe3oF5QWtU47
f7Ub5aFX4yVWMS1/7IXVcxX2/ITV4rha+oHOHyFvWvYhEjiNoHUJ66nznPJY9SRaIcDQ9/CHkxNR
mF9G3RWPmcnuy5McKNiDv+hivtl0IiB0jLU0WJaaWmSd6wrnVwXDg8YGpCr0mhWoDq522KwbqgKD
sLLkE1TMK2Qm3U6JO0CQ0pukTJfkjBrgxlVWfjsdy2CIL5TCBDKSmp0LFq+uGdB0ROeuNceNAL9D
J0LjMYJcX1eIdR8Wt+oTfp+O7tX4JStdwBRJn9w23xvsgwL8eIiP85qYRURit5ErjsqdcJwI3i/Z
cklUGuUAA+nzGNomNGQ0EfukH6tDbGrscqdofk2JOiWfUihQoNm4SLFdYO5pP87vYQKxnACaeO0O
OfhCm6EXBpH6g1ACcYg0FBrx5KeHvEdPHOJbvI4dsRe4RORnyPlzNMzG3culoiL/zL1tlipLLPXW
9FN5LTWYqfXI4yay6MOf6owT13rylpKtXYq3gU/85+L9n15Q/f8Xa8NaxwC++acyZfPRf/yTPHD+
KMCI/q92KP+1teT//AH/XGi5f1iGTeIRayuUzPayufoHHdQ3/sChYPm+bRik/bkQQP9jpeX/QU2M
/sxmzeNbrvmfwTam8wcZYyzH+ONcyAau+d9ZaWEf+Ut55ZLK7fuuTQK3MOnE2Gv9tbxCHUCighmP
h4XUm7Kj6LKL29lDvxHEKhKZKIc83RcoEBiA1Qtphhkq+4rKjU1S+6w0cAz4U3Nc2kBB9QwZ0SgT
/t2JLnlD6+4jOiO2ow1I9ohuyG/xt6XdmnrQTrqIznSGBdW0peo3WASLr9dIWPZzZkScHxHEwMDk
O3jupsjaGj2rezIExoA5k9kuqM/Pega/HoSNhdhIQ3QC9sqMPCQXkz/dERyQJnvyXMZ5bcIbNPeN
xPOKDZjJIQbfEVuHCWl3ZUFPRFeKo/JU4gXC+SYZCMFfcC1SOUH3scdvOIOFV+jfcaJXc0DIpN9v
LEuz7ktGyvkS+RG9NhZWYABrofolHK2/1kTcbDpZlMPaS2v246K1xo847eSBFWhBLVI7yRvszg7m
CsZCYDm6jsTXWazT5o8ltlyJ0gI+5bEL58jGefjYO6Z6NabIQ9Y6m9AATb1K9qbnDuiwZhrrlaVS
4n3qzhUns2CvNMlZO8KCdnfNbCXzWSTFQLmIHgvnqaWaaGv5tfBfRkJeDqqJISTkvs7yn47KbHZK
GoDAVznZXcmh6ShtLt7yuWRBMwuCwdPcjUERQe/MV4jmUVKhjnw1O2iRncKrgIf+MPSs3siGYeAa
9daRExPdSuZBBzOkBORZuPFoXCLXYxCGCBBZzkRYqxHiq8W1K+/7RP9G4ayI0kRYPnVmeKg04INa
TYfYNoa5DYeOuE6uyLPvuvGKCTfDhNnqt0lG07mKbGljEXQmi+N6cB9GXx6mWjOIs9FC/wbIYRFY
afjQpV50Fvn4YtYCKp1T3rY8H2vSxr6oNheJ+2GSEZEHuV7s7I67GFZbEoi5L0+RKcobh8fmvhC1
dqCWydapgA2RN423YxDLXVjVN4PT3MYR/lMH9ivmI7BVht6dPIvNWzkSDJXHE5crtNIvCol8B9O2
eElgF55HkTGWGs10HfmVImk1Huj3O7oYr3YZOw7VPcOQ6tyWksI0s+dgBp2SrmSsh09RLh+yvmYZ
0mfRAUQZ+wXXpYtwYmwsfoUMWwqNmSUQESMVDw06Y9DU0bhm0xpunRAonAX8dGWgnF+Nob9OjH44
NSRrI8qkngpSZQ+PeVxfR+qZUYK8Ww22QdIoJt1LGDM4Q3jTt2s7ERsbZntlm7uxadeRGu8tHZg9
Nf0DoIDfw5Bcs8no8a4YIEd7AqnKtHMvfc9bFnkoGePFK9rIrHy1iOXmMBKP1sjzrwrCz4vwKzfi
HasC/8poQP+NvIsnvVqEZO6wMjClrfTFRNfCiXPL/jgU7DyaSeMnXyO00YBFaivc1lijMAVEoU1R
JnINxkfvbmdVdRAnwS2VHfE8aJtAGrgu3iplz6/kyBqMzsOZOFur2QlSTE8eciIgLNr0kOG0hwCe
3uR24eKmyUdU5FjIPKJOgoyOgyF30gWwyplXOMV8nvtssDaqgMwRG8ibslEbh42TmkJfW1bJJJN1
Gfzg0FTPSIWZEYpwOvs+iU5OxrrDj0kG6Jv2u26EYH3vNUjv6R1iY/KD3mDRRBprcbWBNLPW7sAu
Y4T4JKKs3FKrMVyMJrtEnaQTUzmyf+JJWKpRXOLMOhrvZfLNiKB5VgL/hdLBsf+Grqan0HUHG4zu
6qbl+mJRB/3J+lhhv47TWI8PntkhggyNqWDHnVTq0pWFeJoqgo1qSusM/1mDNraEQvhYNpoKWqwR
XwPOQpQK1WQYQdYz9NdMJ9Rx2vPTX8MM4Zqa9MllIeayNQtMBGcAFTwjPthD4U0XaeUtfnMypp87
R2T3ytWRI68IPhrtYw0a4zTPQ3aNvZgjqqkRvOkpAoV1b/bdpyZMAm/s2HkBfoC/jXGWWLmuZtMe
Nvzpy1R2Ovlh1h2miQ0ZKtfyCJtCbvMYmMMMMWRvS2ByBP1OzGaGmbazinjtw/7ZT7V640yw/1sY
EnyNY94SH0uUkaHZ6daV3Fu9R5ZQZcEadSZgn3vPIUSsYMk7MZ53DZNVG5BrCEO6sotb10ogT7At
X+nDqP2GJKduiGxZYlkqKl3mq9p9ljmoNWgVLoXqxLUTcfTAUjGYBfnPCdlDK6OcWV2PqVFdsJna
oC0hHtm9Y7+UWi1o6DwEmYQTbzEIANLWVR/UetxvReQ9xLa3LIjey1QdR7//oIfeMWUCy0rSECuQ
zxHusa8Z3i0eDJgi2txu8NN398yDwWtXfHDUG/gRdLbC1UR3XmIy/TAam9lGbhEK4Y43tNP35jQk
5xg5MEkuwrnSzO5dK7QPXCvZWu+d/Bk1bxUC/BPAZt2BMZqquzGoYUWu/KItX1PCtTa6WX/KiQFj
21o+UE6/3Bs8mxcgisZDEtm/3MqS9+QDtd9iGoZz16PE2Wpe3CFAne2QORGjweimHCOf1kpZ9Wtu
OWwlSL3wLfTXo32GSDCaHMq2LV+ItzOGjY9j50OZTvbWg3aZH2gjTHgVtUs6huNHzZshovjs1b04
YxlwPnEBuxADxkEEkS20zzFmoLcunHFal4gzyJnXUWHH7rg2CR54EELrf4mclOLM9IsHE40nwedR
Nu/QF4z034N9cmXcngZYQkz4kzJ6h1kS3etWb53wnlARNCxK+4HduGPJJHAcFsJNhnfWSoTzQVWb
uVwnMjL2k97kN8nECJ2fphHrxJxo2f1UNtPEwrRmW6O3+BrWgBR7NCUUHF3AYcfSJJOy3kScWDUd
3IwEeYFwnIs+8vk4zZRrnyY8MEqtuWfcihpJN6zfhLENe0ovtk5KEPYnakxZLGQBeks6zj1pPjOn
n0e8YDANRvnMFCs7ZSoTZxjjI1Ii338daBsfE4hI26YNo/tZyyh5hN6WD3wZ2aMxz/x0m4SraYYp
deN403iMGwsvrs3w5zbOcjj0rd8go2A3FZit+abqkmEWmpZ0passfcv7xH1V4fQ91oMGntIYRzij
5dZUCVfXZKe4NzIl3wkhadHFyKGhmS294qPT4/HBwCz0CtyWeDdykeD4RZ0Joxjh6rzHbyPe56zR
N1xKYGP6JL1PjND/qLtGPhqWLG9T9Gbskkqzoy4hqpbpug68B98uI7bFeYhNeHZ+DY6F/FQb8FcI
cGIygN8zcK/SqU9rS/bqXfdajSFSjQCuBJbnr8wyzI6alTYna1hiXWAQfulFOwMx7TvvBWN4C2fC
NzVxrGBb0GmYevRqDkgbVnktk2Jda23rrHoui7clbf7BnuAYE3skIGw00drrcGNuOiss/bXNJEeg
YIN9wqHXDRtdjTLfVCGoGqTqk/nOoEyxJbWm+BMmL85n0tfHU03WMqPDENhGTjrHfPSosXWjzqKj
khwvSK569wtFinEbgjm/gQrcZjtXmPMzrHCT1Mre6PZ2JLWnsrNR/zil91lJo2dMQQsFhVRbmqdM
Iqz2I17CoiKtaeU1PCPrNiqd23msjUMCT47+RxaI3Ps+IlgT6F107ZkuP/Z6ol1UKjnsXT0GAybn
XPtGMQJtpyuQMSNs0e0z8EuHdiEX4wl7B9p4TG+fkYaaY8sj3/xWfZQdjMYJszUJPNFrKZPI32ax
y6KLfuPbTEawK0WUN0HRJxgWmsSV+LnGbAlLyZpno0jnaa2VgCBzth/A1EOPaM3MU3BPNFJL2bnO
/bFrU/+SAgm55/MpzxOTtRmpTftWNJMRkPtelht8tyYbs6RB5ozbC2yjR3DoOtRQGxnRJA+tRRQp
zNp02qS2baTM+iqexxS/9AX+W3IZmADvG02wqJ6sSOxbAKBwDNwcLhdez95cItbcivy/HtpliRV9
ZVfuk6EZ6pM+hs0qnh0LqlOpkJ4XYdKeWyWVsU56X15VO72auv4wan3zCPuTTToU1uoy5LpeXcdM
EqU2m/aHM2solAaV92cm6vLQsDkNaml2r0Mjum8ZocTaMMbxHiodrt1MtMGzwuSIH3B0kQO2wOsA
fHnxkZToEgZoWWunqPJNG/u5Vh7iKGXiDQHuqR0d80aVAiYX+BM93fmDNtJqt950RgffXlysaKs8
buZ7JyHZA6dxh91s9N5cQ5cPmBmXAA2phQdaJSfaGlIAIKTebLd9o4rNPPB0rk1TVe6lYc/CC8Tg
Yz17o9rpzSQ+RlW2h4HUrLNuLN4p31WLbR7cKf1kTQUWdy3qPr8h20NrgVIkuT39cqHrf8FOg5w1
pB4o/GQYl4qVc+KDdnZcDbTwaPFtp9mM5ZK6IO0JhyXKgudoSoni5CPGhef7NfIyUcdTt2ECTfnb
8GLDWxmRu2iu1xzSeegfLdZ6BjIMWVGasTFm76hNEGUNqzl5miV3eePAZfUG+VpXIsxIUSwcnuF2
OTfrBIwyo3LOo6aXfXGts5YqYKQTTnaysRT1hVuRH+hTFeESNKtAsA7kYc59bCFNHyEwmcWx88CL
B14jybD0gcKjs2y99tilOSACAdtL3Uw5jPADe4s2DrDqqvfap2zTgSk/ycZvftvZ5B2QlpUvNlbU
Z5/ALQW4TZ92k64BUjQsRCaOHA6qZBLP+H74zoyJbXUoSGZacoty1knseUFVh90WDaK240pqNn6G
WWTUacYKE/+uihim4M517V+WG5H/6Pi1/YgEJA9KkyYywhLn4tPaKhiIQdn588MolX7Omc5sMNaz
WQIaotawjKr7zvHDX0RVmqvEbpuHXAf2QBYpwWxD1Wv0i71I7meGUttOxvmL5WvjOc8s+VjVbnmg
dSR9ns9avyTu5G38sg5PXa7bNyMv/KPqKf1bLVf7yJXMkaGjfVco5y622drwCchkNlLrBoGZOEgj
7F+jfrSOjK3hZM+YbGJbDAd2ySUbFqiTZgZTxbUfqMnbu8mVrNyjyLqNYcDv0aQ5bzo/uU+YdNGa
HggBFQaOTTgb2W09lMm1cxX+EZ95fFdA05hM5gxdaEbf8JWfQqktC+Q6KNpc7KjtJlzJWhQoYbe3
fd0TRDeXuybrJpbffhvEVZNtoJlSns4eLOTeP5VxPR3sLvlluKSZMq0AjNmmLGBRS0y2OdyYMVm/
IJ7yY+jBSOnLOFlHhsyR207labYasnUwbS4ml26PFrDf92nqbrSe7RffT7d1Ewt2ob/Dt+X/w+vw
Lz0cP7r4P+vVQddANwKsg8CVHCLnb3p1jeO3nDhIDnjsTMrOpUrzBMBPIh3QqNg8QmoNZwem0yBq
8mgx607Y/uV/9YX8HaVDP+myNrOX2Sr/Ed7flskt6EAklq48qNaBxtr1n7EvpvmOFazfXTxo+M41
0zNXBPlcTPdk3dH/sYLujUCNvN9Y7Z8nadrMyaDuE5ORAn7F3GcXzYdjz661sTqNLMHezK8Ilvjk
HZG/eo02M5ZYBnL4iYxPt5QlgZh0jS+MP7St7HvxYI6T9quNQaRlgxc9uboYlhDCKHntE3Z3HHHW
ydcThgLeqL94bcSDksTyrqmc1NswifUBLqCQtMA0boRCuMmMM7pMFZT/3mv7e9ct1FGTUpyGPOI6
LO18K2T+aopKvwORgK7OQK6zDC3dZXxJgAiTzFH2nJCalplxwMjVvsdZztgz+hmBurapf9c/g1HT
av43e+fVozeydee/cq58ZQ6KRRYDbPjizaFzlHRDtLqlYs751/uhNHNG0uhovrkxbMDAQINGhzeR
Vbv2XutZ7pvrOd4NZvn6btaz+cxgvyIWMqHKX6VLwT62qpMbrdFZRl06PvrEl0fr9Et1z6iGSt//
UvWPX04AUZ9Mr4po0C2nVO86/nJOMNvCIvGcHa1tKvyd1pfjBN0k5yWaI7IRmGofjUA+aiAdx3Ks
NUZT3vhknhDNxX4BHWM5s2B54/jiLSeZbDnTOMvpxlvOOQE2iXBLSEx2HxeTv4pxnr5ay9nIW05J
IPzwzJeZ2suqpke5dETXrCbGx/TLIQtkOoql5eTlL2cwuZzGJhx17ysRckSjl8NxrfRDOd87qkne
K5mWL8qdBZSSCTjjM7EQvEmqSNVVO3O+3A+2Qy+cRnr5Diy3k78ZIZa6bag6/RkQalHdfDPM+Al6
Rf7F6EK7xWUqIRXuMNv05A+mqy53Ygb9bCcRtdZlaYz6ohiA/DQ1zOs8E96x8upsQN9VBHBjimsv
ReYcEpeIat4ZxpPTarL6qhnuKx0A4sBzWLd3nHpIjLfpk76rsx6Tqo6s6t4eKtDwMrbpAQKUctzx
OkuD6yElfJV0ELO/ML0MYH1jjcErqajWzolK54hbMbmVPjDTanTiEyyue7KqUawHNz5B5hc60Dh5
rWCHte2ee9y6EsDrOJj5a8ewYY+4kVDIsNXcsWWjMziEUaXIgXUoUNk7xKEv3fTGcWJxYxVmb28L
JnsPJhThve4RkeqxQzFUWAV8HY5tzRWLS3XjEQa2a6hk2o2itzyQdwQZaavGNDnNlcgq5EAQFziA
l/mb2zXVUjB3FJKqvZF+jyVHgwUsLLJsbDVjmYBEDAEvdYP3IVOF96OakNEOWVHvghYqRZQx+2fX
tV1mFnG7Q2tN2IinuOVsGOpLILwzrhYw1RtUIvJKGXMHSNWcnEyMxgcwFMo6y8GL9D65JYjlgx4b
ZWbawb5FRLuFOWbcjXRG6BTAcYbb259IWB3WUkTmFa3FmauSojON0Z2SCGqQ3IEjlD/Xrk3Dy+9I
dvFw6aiyekRYzR2gLW/Vw0Ak/r3sGfd3HVvarPrd5Fbte3C00YMRNvKpAuN+CMQswnXRVyxN4xDf
zk2rN3VmW2fFKrXGL9ZukeUwf9ehe+OGZvyYE0fBKhr6ZCx5vDOnyBJQBzJUPhdTMos9GGocMERX
WBdlVtz7/lDu+pQGBZYkdqI5bOxbB+HU5cAQFndGLZBZI7dDuEIcCwiPchkimV/mSWY7YpoPvsyZ
xDJyqunqzmtdLpOooEmZSvnRRPCtk8uP5peplc/8Sn6ZZDWWwkUhB/cp/TLpyoEYYCGJBk6fEas3
EC8nKd9runsR9hHH1FdzWZpiu+xjb3Y3jDWnb4ngv12mbXHRD9gx65F/ORlYzmU0dPWxTud4i2TH
PFayaqmrK5vDdefPtJpaH3nVIfYc2BQTDQy1qSOzOFudRT1B0A493XFp7ybKfFd5pfJWLeJYH+FC
vdwgiFUmYnSAHsxLFKvv7koT+jXPutkpBq3nMWRE1BiFOiAraF5+vVAxIP1GGsbs0jUpLFikbNRh
pmUvs81vusOCznxCS9Q9+lpdaf+6SuqLsr/954Pw/9qU+6HI+O9/LiP216Kc6oguwP/6/svm69f6
U7EMlb/7YvsFbX/bfaqnu08N+v4/nIrLT/5Xv/n7mPrh12mXpoLr+s1b/ZcB9+kly7p//beXrPwf
/zq/NGEW1d+x97/+/tf5tuv8tkyRbd+FUURNtUyYv863XdIv/aX2c4XD/xyPbeQP9r76zbTYYTzX
csHffAEr/kFPXJyejjShLtqWcKgZ/8mA23a+v0gMMK+uzXamfhgd5LLTZgfvb58FwF4NA1gagh97
XoF36q9KO3GKrR8E5GubxhDOq66xky2g5Io+T89kUetqN4WuunLyMaR7hFEqDbvxkAJi3RptAEqs
NLRJyKIye+50LPtDYKHXKdrpyGHKWqWMQ5/HBUzhwhPaNhQACPTr6trsZPKs6wBuo1sQT7GgLQYk
hGdf+/4xnzFwWAsCI8vD+gT5yl4BiIxeMHgQIxhBgt8E8ULQaBaYhrdgNZIFsNFPPalA5cCSMywA
juILi8P1aJjPHc6KpUXefmK+CrdDLQiPdoF5tFMVTeeq6qPzVJP+VcrR2AVeEewnSCB2PGMr9Tha
4h8h4YbGXMK+L0t7XywgkVQlPUdk4CJV3FPgNfn8Hr5xvB3n1jqYC44kccPpoUsYQp4b3dCr878C
TFB9LWjXTF3mNc7LUC7Bv8YQnFXslh9tUOuUeKWx8TTxT/EXXEoDOAV9avKMKLJ81pHfHcQCWHGh
t7hroUJA2wuIZV4SCtclANzXzuqCk9WR+7MPXc7hK8hu6jgYPaxoGUfGg2Fk7sgJyYVribjX/ww7
bz6k9DQXvIRRnx0CTV6MMkoUZvreZzLYtttIpILzX8xficqw1OvOqtstZHOGDrMlt2B4zc2cOtMm
XH4ST/GEZzTq5J0jwexXA5/CRtZW+URGKcQBj+pOPzbWQBWa9RJ6+eyQprlmwsxeYCeevs4c1zr6
WRXeKAkFxCzrIOTjLgY2V6MuwIR34XSDwBSXLKi3rc2flDc1T/Gli0cA7soggiGfKgXZyEAVtiSE
74LZZdgEkKk+hrYx7TJGjJ+n0uE5NYQMQG03Q5+eE5cKrYmhknco9oIXTH2Jx2jW4J/RlCDYIkJ3
Qn/yYaZUZk5ztGVC4hb1bSFliqDDL81o180IxSRE9rvITvVnkh8QcwcF7ROJUJwoTxPIETO3lm1s
mKn/fC/tOvYnQ7yB+ZpeZlBDjxYPqzaItqzPAoQTt7Reehl4Pxukkpz6liltg36jxKnQgy7MPQul
nl16Ky+VRYF/StkHX9EdR1jlevZNGJE6s4GhoPMtnVVnwSp2ISYDr1b3ZDUlA70mIwOrpJpcbmOs
daAVxk58GqaKsOYWlSIs71kTn6hzd0FoB+pkTvRQqN18/47jzyteOBvVX0FvJZ/Tg4CEeTdqBcqw
00gy0WTf8KYAwDK9cnwajRi7tAVGgvzN5FhOQbuv4Yfh1HFa0sISX4IPbZh1W3MorYVUweeE17RF
jT8DQVDsUP1qcvyO4ogZyYHaTN/jtyCdoi/9T7VkuM+RzGCa6Ebhx2iOh486iPudUwUThYYebiL0
3qeW8eBN7CvFJJgJIvFk5mR/MOrJ4hDmWhSP2SyKi5QPCc1KoT/wR7IDY1tx08QmIHDb/wBdvNwi
Ilra2yBhvK5W26j30ouWLsgHz9ZuDINBk7zaxGBM24ADTskIZx1RQPRrMzEjlB1gA45w84sTyo4y
3SC05FNrXRlc0MwYD5PDCDOsGZBtx9ILLlRD3byujeX8WdVuUy45BeIFNKj/6FiIPeCc+3fFnN5O
eQ5QhCPqqre9fKcMD7nIqLrywVG9f85K2mfatqPXQob2qUPCAICpE3trASj2MYMqmjN4mOYiOcjI
UJtUhQMqxAqT34DvqVjW9HzCKonnzzg5erTfp3ixgBmFdr1XA1TpZEqjK4N17zITjnntN0a9SBz6
jSjq5k6xzt9Uug/oYBfeuO67pEIoHNo3TmczdmqM8JOJvRlFc5T0286T/nnOxviAoj46dLka9rmt
jRMnT0Y6g8wLqD1gczflkMULpoBGtckxiQkB5uU4yaK7DMwIQpf2lkqRJDFWS2Qs0PDle/Zt/1zU
0AdWSk3O7SzguaJBGap15Yvs5LXNlF8DIR4hYRXh5xjD/R2InOBBliS7cHeA1NJQBEBX1vaVqWX9
MmSZ8wwphqQ2MXtriubsYOMTdwl8Ng3UvGAzKYoH9zYbLfcirWdnk1rzcNHXhk1gS+jC+YvN4KQ1
Q71Z4PrmABDtdEh6bmv0Gk+i2bY714jTO+U22TaKAkzAcxnWnyCVReGVZET2gozEBE7LOQElcFIo
1DvjeEEKJJP3ifnvBPn8Yvay/r1sdLwDyIlGil1sj764WNZ4D2MEiZoJczs7h7NrlVez56DKnv1K
frL6AjW5x/K7qAJwZXmIhavOa16DmRGKOedy19PpOM3e3H3KwMvtCrPp72vNNoSfTiW0PLR3Yt6V
vKBRt+vF7KmvNeGZCNjSOtpVSllrXTvWsetsxt5N6XZnmjvmuc9AujLw7Ygmi6P9ZBesdAa/c4xM
DRW1Csab2AudfTuDS2oclCJat9VjMOT1OmM7Wet8Cg4J7fS7QdWQbr3AfWhiv78J+wHoWDaxX1Po
nj3SFmEv5+QWGzbFAInYxGs67gUTVv3xn1foP6+9v6vE/2MR/13B/n9Jhe7QePlVhX7+hCCd49Kn
PwOxvv7K70W5S+lNFJJvQj7h4jJx1fxelNu/kQbveSwhCnG35f6pOjXlb67wTLQF7JEuifScEX4v
yr3fpA3wZAnE4m+58p+BVKSz9Fm/6Qgj5fEdBUKFmZnNPNn5oTj3u9gYkgRdF1ykZQ7OpkJLgngT
0HbdRR7TqQZgJc8OK+pBZFZ7pHCGd+BlfgmYyWif7cHGfJkD8nrnlPWg1kLkxTFdckYpGhLPZQdv
851WdA4RmDjesXecIbqoVVW82rPqzgA1/PrUwfyp113BHGqnbYRNaxvuGeQOgzzbVROVi4eZ8yeT
0FS/5SVy1Y3Xe4618ay4HlZo1GlkMFse8/NgJC49DlY7IAVYVtUsgvPcVHUHelo4z9U8yOcAzA1C
SWO4LmD0ATaeG2Pl5EKfetNziFVNQmaYlD3+SZrEXzb5kBMAj0oDbrad2/1JUvgJtnRIlidnCuW9
yIdO7RKO5emmmuZqEc6aBLcM6KrotyXhGFyHLuFHWxXO2PaBtSNpaaCrDtdOn7nNhXRsjOcygEq1
JqHepvMcm8wPO1fXAodpVlKyYruRnYE0TURTfVFgbVMA1mEjr/FuKXiqQzzdD7Nk4B8kMgp3sC5S
VHtRCzx3YNkB6o1i9BXoxlxSCHVpsZmahAewNdEnIsK0lSDEPPDJ2A/Ci3tCq6lEArqwN5jhyaaJ
/Lget4y3i0dpWawpc5yNwd7RJEvS98CgTA03PokycW9ROTivYvTYnDunU1Dxu5G3xkMcnK2G2MFU
qxr5XHVR9+xpZUMjJr3FW3siY0mnscQMCMjBvR1mFboEr0JVVLYcFo/IG8JpyXceQVHzCBvVij7b
dp1l3ZGwUjD+r6LbJrOZbPYmxCpThOBEq1BOADR8OVxBYg457VnpRnM0+WTj5F7ykBV4bdpvI29B
MPtHuzfiaVOpSAYbFBMmP2c6HyqXM80Ki5eVrHFn4w5xMru0dwPMX3XA5zcHhM8CgIM+Ys/9puth
d1QA/GGGWAsIh9Z2sqEYxuhOSweJrMDd/JnJ2MgMb1Z5sI4EUuA1iSm0NukudbuARgx7nZXD0uhH
cEJIJwZEOLyw1cDMyoSuMZVoayWxlKhBkzeM01ocvQz9Sh6ort44aVzkcPjt0GPCaLUZfbfI2zRu
B9dt1aeZNOSqsev4qcScl7odB5SuHlzUFwwhz0LiYya385Di3aCqaUT8lMtB7O18mjHc2vOF9jG3
T2Evd9Uog2odJYM7XE5+3pq3Zh0VT/UAcrNvOJcqGmVr34KRebJ9DD46jLfQIsjbjAMoTwziuVIq
onIvkUsir2u9hUqifTDh6CyNqPxoEQ11IXtcRWtij7LuZEhcfU90QwgXqaapF4SJTaOT7KgTFxUh
0TDMrbM4iT4GRoVRkS77R3ytFXBO9tjwOMBKnK+jJDWntckt0+18VcJbGjzEJBMT79byjo5PBu+1
pbtpvjQMI35qp9ZNyLlhsrLrRntCQ6RC2RG10k4s8xiPQs9YcgWAodLceCnG8pw3HsZVorzHibhw
wZ20LlUH1VApXu3qv6vSn0RXdiC9s7G8aWTf7s2SVLH/s/v2d7v7/0OkNEsw0/7V5n4fwVX/jpL2
+6983dw97zdfEl1pq69ttWUL/7q58x1EGI4UfzGUeL+ZqP9BqtFWU4ru07+3drIuGfZI7CmuzUfN
ifKf9NuWwuKbnZ2iwSZtU9GPgk5JJax+8JMEhBOyYUl5sHsSGed6SNa6iC5tWkYnd0TTzmi+3NgL
whZ47vgYDQkKSDP3VxU2wY25wL4yiWs1xoKwCdrSvctZuFH6l6ReoDxcffPO/mTYtYyy/qxE/vp8
eWO+7SHTU0AE503mgc0T36uNLqiUAmB2HmxECdCadUdcIroM9r9+YDqkf/PQPxRBpWNnZV1a0yHS
6KnnsY0Bn1bebq7GYht3RrGZfQTnzIsgZEh1PbK1rZzKzzZwW/U6LlV9mOacgYGBvKbwK7Kf6/Ca
lBsybkvePccar1Mr0JdBS15B5BaIHetcHBr6LyU9ujqNHhN2cdoalYE9rmQG+g4i+QSNtBqqmyLM
gMgTUXbfW0JfJI3r4cRH0pmW4FAyXxSXCvXxZU3L8n3YDe3GNMoCmkUqtxPG511dtluRv059KMgH
03ujjUEt+mG/0YMpHu2hGI8u0Kh9aqUsVaOOmF91r3HtNwRUF8QXsz2JfZhDg5oLgg1iNlak3arY
FzJ+VE5w3U3DbRWX9bEZNkNqvLOb3D+3aZyRKOc/N7M09orto54IAp9CR17Es76EjQXIW7sUcVNc
r1QX7a2BPJTec19a2DebHsX7SvqMFXuOfLKfrkcRql1TkVfO/IwUZijsp5KqD89JIDcBR/cimK3d
yFik1sUDcuMTqOFgA99u05di8Ulira9OjhkQ88JgfBcjddmUzH12EUpIQqY8eysHvBn5OCWEIIpi
ywtD2RmV7ZEpnvgw6Brat2Z0thxlpwN9+9sBkNGJu4b41u4cTLitYGn2uzIcH8be6G+ZlLebMbOX
RPSOCncoDyI0Hsx8HLYkayDWQkoOl6EIr/1OW9vestILP7S3KonNLdbQ4Ojljti3URgcEd5QH0k6
gagOSugKpPzRXoo2PUSKB2OsOO7qrVH0/boPsyOycPpuYZSCUOJqHhmS75iJFgiufBpqSTedmdqJ
JXs82lNBfbTd/KFNWpSRUu3xy9Cs9R4AoWwap6PowOfKUNWGz5PAPrRwCCUVLKLcpf2VSgg1aQcb
Fk4Mw0d1oPJ3lySkvaOe8rzBgmJN8J8UjSNcMjGyAMMjEiHeoDagOHO9eF+lwx0yVHHG1LowXMdh
A1OetnTZuuepKJP72DKNDQCs/TjY93QH4Mp4o7HOJsTLSRdfOR4MIcYGSHAKWtBtLEbQRHJvDHR5
mO5tmeXfwdqibZr5Z0Kmj1gB7iKPUraaxod2jM7EVq8JILjqKxNwjpo3g9tvRwbDaXWNsrxZu6K7
g3DqPUqS3MCawGsRHSFoSFgphMGx4KbN8gf6R1s5+rsqzF45iW/bGZsEQYP9upINznPLvkI/jUWG
RnsUV7fRgAWqNq9HV5/iIJeXmYMwGw715O504OQ4ma2i+UhksuJ9z8U9YLBdQ0zIHUxEvQsirHm5
34+vPXmqK5HXBNHJ0fJfwjTia17WkT4ArQlSG0lPoVrGklymO7jOTKVDuBpjZeWHuozyo8R2jBio
WUa9ibr1Aly5aU9rLMaSdkgNHS49/XqT2OIxI+Ryzeo3nCcxdA+1T6U602VbWdoQ+yFEjpumLiQR
4pIFRKxRQELq6rsqyLqbAcHRISqILYJgyw/GRQjZxwoxKdTigkYoFI3pVEtr2ioneZjyuD0lCNe4
BO0nirCQeF0XW/qkMRdJyMiGLOsrSXIUnZ0g3LQ23m5ZU5XFCY0ev2mio3ZHkOgG2TyGjqKtK/Af
+kWj3mW5AYlnZr1DDJHNXnzIB3j/jMvmA5UwFGqz+Ozq/CDgj+/hZsg1atzkgOH6vUXi+taOglsi
BHKgtgGyomYc0JWGPd702DxmZZxfzSh4fr2PfT9f+7KBAsSRymT+B5rV/UFSZRp2aBpJYx4Kv7gt
oswhP4BpGuCV868f6AcZ2V8f6YfSImnHPBQSbW+vO3qYgf/JnBs0rgKyNFjNj47M0Sco2oS4XYAk
kB+0+fVTsJhl/lgteDROcCSZuKt89wdhDMwGgMTNbB5YrbANCVsaawsRB+d14j7IpzE2BDYn9+1c
tocEqfdVsKwkYe+Ls4iD6uwPLWadpnjn0Om8TTg7IZKuWeVJU8qvkAHRXTMxZMR9qg9R0OYHOY7N
toZav2lycaorDFhuqT/TDzVWRtsUa0TDtzwPY4v6j47RvwPzflIc/eyz/fblLhXMNwP22E4ZlzD6
Pxig5+6YbllwHxlc0Zac179+qO9D7r5+uI4rcDnyD0ERy/e/eShzQKXVcqBEGOZ+bl2YOJOyP+Dc
Rxyuyne/frDFc/3Xz/GbR6Mc//bRwF9yjCU+7UDUyc3cKevZIibqGA/6zYxquthO0t50YRrSypbz
oTVGayMT/E0eGstLP2YkxSe5abgNU6cad3HTtacuWPquY5cRDclHmKhBQImL1QYRdX4j0IStUBCP
9N1N/hqyfyRNxsW4FCXVUp5gwP2bW2Z5GT8Ut1T8pkMKoccU/keBRJKRRIMq3Dw4lSL+Ge/bOoPi
QunmGDcR/I501VVp8jcf5c9u1O8e9oeaGhwui1tBP9iwFbdGrd7chAAYOlbJCt2Iccqn8Sqg9X+T
LlWOO7TJ39yoP30KLEq+w3TbR/v4w42aCnNsyiwiWCmil9iwJWIHuASwFBAejuwrLZ1r5QnqTRAj
rPrV17Ptf9S8/uRyxrz/5+P/cOd0QIuZZWr70KbdB7Q541WbB9YpqxwubENf/Pp6Xk4KP37OELAV
nzGiPf7//eWMItGoW8gzB2VBZjYHxpVRQ2f114/yk9WA9/PPR/nhNTWWsPpUFfYha0cTVBZW5Sa3
ty1Str/5+H72SMtLESAJOK3+ZTEo/S4HUysOczAMq8EzEUX6R/aZv3lFP71Mvn2gH9YBzh9dG6S1
zW5Sup+igUhh6WK96zxSGabOuk90i01SL+UxVlKOAmVbXv76bf3JkdkWwgW/4Ak04pzdv//00JsO
0EkD60DIQnmYh7p/KKWNBygarUNpjY9F6Scb3WuX+ddE+aaJWHKrVBALZ7xgOMFiQhRPtVQX+Rlm
wjO4u/TGjORTXNMO//XT/eK5/f5iwyznLwAKZguCa/z7p2uYfRJkc81T0905nwDm49wDCjmnAmXl
fDn6zrgtO3HomhBm1RCRkcnEfgcUiPJd5UgKmOBtcOoeKVODLcD0DVniHHTw4qw4RHwuy0Ef8chS
wln22XT7CjAmWQb95BGyYZC9Us4FtVUZVDQOP8lI0H8cqmwtnN6+aJrma4nz/1kof6cT43bnjvh3
xfAXndjly1s4vfzrZwG7X3/194aV/M1TkNxwFkkc3SiO/mhYuTYNK6wBwvZQGbN2/VshBufky9zK
81H3kd3i80R+H0ZJk46Vw60Cb9pSnsXi/odW7veahiHef1ypTbn8qW+WT3eJWHQcFEC4iuiBWeqH
2iMySWeZk7nZjUR62hvIxJyKoHlf02AVT2Rmm88etA8ce4hlLiJrGswTEZTt0Rsico5sGV3XFXlE
5NVN9puKEv9hzlufLJNCS+eCKMoufNK6CLi8jcJ76oNYspJIuRkNC9OrSO8qm/vchT27bsOuvy5z
8TQz6uAQlA8PkSqzBz3n+VunXOu6Fll8kBzFTw7gv2OtOcdkGAqbFdM+shqbtM3KdRVSo7Vyavch
BDm68G2OmVGYg1jXnTfd+l3QTyuO8GnBRKm6y0dYA3f4JYklc8I5uy8ZTfebOKr7+8wsMv8EeJ4b
FGDBwiKxF2aM1Cn3Jj2S8s0wPCxJU5UHuGEzOtoXGOR8/9QH0nW302DL+naakvINixj2Ke1DUXoy
TO2/FfM8fpxNgvUOEoU4MZwukw0dDwQJRIDc0o3hEMvCdu3mw2k2VA+O2G2Lq5HBzAc8CuZD4WDh
tZAh30p7Igoyjo8hY0fUDkZYin2Res5H1DB2f7QchJurKqgrgKuhI9AOjSWhr31d7MxYw0Jg1EHU
AA3wBxuwwPsutfUbfLX6dRSNe5VxkHRpi1Qtkb+YntYqK4czZvp2n+tgoD+m6mzPu2Kb61al5Ak2
VU9vMypnGhJI57TZ6gs4ElnyYebiuIvjzGC+IKjtjZrJCAs5aK9Z4+IsA4yUJpCcaF12ix8VIt6m
sxiiKDuRch/ng3syylhf2HnyCozdwLZLA2YTweRcz+B87j3U0iuSiWFWp7xutjVnHRuzGaJmGYsX
UQCkbqLO+qzTzHu264yL3EQ+bX0IS9dB2pZC/ujGj5ZZoJzTvXHAdqrxYhE+JHDKsghnfnR22uxu
URSMABjCCyQh6talGf2+psN4yQ7QONuUs/K+al3vtQZrA1VFGOk7Gpp4hg2pCKZwIizha9eWtOY6
kYccqgl/9tYiTOPyBB7f2LserdHVhHDmYgh6Dkl5fkeEmdhGGOCqvR1j7GZwRfPN7t/XNJPWouy5
3tGIKY71fQPIF2GjZx0EO9iLouQPnztBsgOGtZANJg9R++PRNQawr4g2CQztZmKoi0zQlKDDTqQe
wsvwXTNEIyZVU7fFrrDcfqSCRzizCZMlmUh40gp3KExltWbQa143iKpdGnC1896aXQIImUJi4gLU
2NnPRHxUxpWym7DeRSoKux2COlOhRmvkRNE+EM4wYEUVm3jkgwYKQ3oA97rU+XiF60Z3l0HvEcRo
VrHI7iOfn7oLvQGb7uRCzHhuubo8uCppQrdSG2QtRwOx3escuztXGVox8hCi9gGqmjpCntLVfdIU
k7eNDOThn4Z+Ki96Qvi4sRlIwRqYTQgJPFFwqEWcfIL4imvNCoIaz2RSoQLTygX0Ygpsx8BlDYbK
eWeiZMrm9DP9xgr3gzXoLSrWpDlyZaIuLdG1rky/tm/rPsqv8lypN8fAhn5AeexHp85W9UfLT2tj
lYVJtQlCxXw64lssEqN8zBESP1aEOAhUOyaxB4mtD0qU2MJDwDjMtqIqWs8LcmsTKOwQGARmaFYs
kC4EwririjUvkcwEKJgG30Tmi2kpgUUV5zVke0SEl32i8ufCjXG6DmqYrrqBw1ReW/64qkuQi6xD
2lhsFdBKzXa47P0KPLXhIWzw4hBKEtTYWzXSjLfDXN4hTAyRx7UKbVGSa5DLlaSTi9jMxJg9RecW
DBVS3bqiXyutZxwMw86kjYkx33eOpLug48/YIrPtaAjiHzWgecuQY7zVkaHnLaPubk/6gH9R4rhc
k3WGtZ9YQtS2dl5eG/QoXwTypg/RYNpPTWgmR4ccq53A/3rHbhl5+8p0mwdYQOPHqo3sN+mbw8OA
92fXq/zeZ1nC+lu5frMN++IeoDzcwWYOy1NFwLjYozbRB6JEsZc2PRIpErCitbJbAOKKcWi489J+
rsE+OO81mWrVpmvy5pw4k/fZx6EFhBhMgwigEsZtm33AwoajqEBXMhwEWsgtPEJvkxKpdciyHvpt
HQ9XijDvYpFhm/FuMnnBgGvMT2URGRcdHIJwLXNtlhdTZjGIauq5eKTtSwYMpjL2rrwv7WNpd/05
SULdYtVnyIXoq40+KOIIbjHeWpdxlfjXOY1WQEiO98rWXF8A6m9g2CsEmgNCwhNCN30mVQIxWoW8
8E5ZY32XRaTSr1pkxNc8l/YD0ZLiKTEbGIQdwd530mUQHCFuhnXj4It140+OJ9NHYqywcBDp017x
6eXvMcWQAqBaQnFrGB6FtMkOLMq3HsnkTYht9IrKhS6jn2fvJpMTcIV5JzzmhY1mxuxq2K9Fz/0G
7WlDu8m5FeUyys86f7o1O2Mu70nLNU7SLuoP0gQtsdV2R8oEMQAZAUE1RhNaIdgnnaq3PzT4eG5J
PkBxhgQ7eVcMWuvryW45oojYzj8WxCG8Qk/qUdQAYzMAywQTyUQCD86u1717T0u4gXOmUvdUeq0B
1UIV/DuFSDHX/DUWM4Ddbr+pi4icFFnxTfqw6taO6f6poWFl5sM1kc02YEvb1puLNb+dETyoMSGW
akTvNg/tZ0WfsqItytfCCrvPamj7I8Gx5cXg1O5JMdy/TYqin/EDw0EDHNnHjym5lvuwypozYxCx
Fw6odaLH+EMIC9Ln2CR5b+07DZvNxJtDjx5IE9oeZh/POGpb/1CTkwRoFvLwCxkaMWEcozW9RJMR
vLbN6NqIWnqyXLVnA/OQ4xQmNybZ7JiVY3Qnkl8nfCIjbn2FXgeufeLNdxSm4QZqA20c4D263BRd
Oi/49EDvGV4VH/yky7jfoBjvkIXAvwqSHtMwsuv3edE6eo2QJ39JJqXOdhAELxaGiW0f1F1NgWcE
Z8g/plqVJmMKl6e0RWQIZDsmzvq59XT1iuy3mlZWgUuCfm8PHAcV111YTONF3ZT5Q+F3S+pMXair
wov6iGCaqDnmAOytrbR1ccOqP23q2vXnA8VOAblWBPoxMEmmMd2BZbLBE4e+xWcsWwcUTVD7YzIC
rHGqPnhRzFbjGf58XWeVsjclyY0vbVsQHgDlhc5olSTXViRrm+yODAhZSJuNrLsUwX9bmygeGmi9
j3pu/QfE8omHYc2fryKGOYe8GPN+M7qj/U748NTvIRv6N5UdWilODst7a6ktW/CIeNp2DTvzTa7J
sggxQoolxoEAqQKUDqEiIeINzXt2EJHf7xW+9YbxXe3eIrgGIOblg7x32HU2paO7J4gZ0b01Se9m
mDR1W6iq5jaVLfY44c+KfvdgiInKvncmNCXaue8dn/yDfnYo8rxkulbgcV/RJll3VclCzaCsgHOM
KBlOea+MN1Y8AFFp48CT8eJP7oQxl1JIPaI7KqAWC8O5E93gEM0Zu9Eajy6AsArKCRkzrQ/Dt3Df
JyhlbzJRGx8LEpzvxRTW0Vk2bXbO+8n93+ydyXLcSJqtX+Xa3SMN87C4m0CMjOBMiiI3MFKUADgc
o8MxPX1/UGZWZWbdzrLal/WuOiUqGID7P5zznR8Rk7XmQtY6ECVWPuUnOumeyJxpPspFDueg8Qrk
9tjwRGwGg6j2ftbNM7lInELHlhCD49wK49lPZzkQttCog9l7/bkkqzEO5tzEW+o1zs6adadB50t5
ZTLszGJXDvPLEjL6qjPRYCqfgzZAupcTJ2bVzaWvAaJtWbt0u7FK8/OUKvNklfrrZPYk66JU2C7M
ffiH2O1bUptrM+WTVJ4hvYHpzcnjpi6bMkyH3mwjKc7nsd6YHF4bx8i+2IUVbtwOVDdPIdIpFf2o
A/cIO6w7TRhSwVn3cu8a2XQICUQ/JPmcfE+MRt0Sf8T5NxMIvOkmukOjx2BTEsg+UiIgy5oIZYL3
V99NlZedWtEoMPoGwClFnGqbsjQf4frdB8ZMlEYyUBpJ8kWfXO6+PQgidRxllL5RzihWZdlDXnE0
qzXzZ16IIxmROm2CoU7OjTfkhybqls2UanXRrFtWrxBLyHyEw+33J6sm/RKOWVns2Nz3n+sqcCSc
SoYnKbLwTbQ2wVdV6/dXIw8IGT5zd+5asjTduhBXkSqG9yVsPxd4JvQ0brJep3RjTVYlJ3/uuiv2
pQsK5DTdDxnAQH7HDgoMMjF22LGcuK2gfZABae/zZPLv+9Kcw7idJpw6rOcvJnac02yAdtqGXmfe
egujb2kI/+LUyROP/b3vpudh0l8Qj7t3boCPJfTkgsegIOsRJh7sTDXEUZEKGjeQ7NeZ0VdQHGct
v9TOlL2YqR+Rk1yi1ozWDAazn97zppju/MXGc2r6vSBVzA+Ovj26pzpBlnMwJ+VyvIlpeUW/c1s0
qrst0O0dEpKCtOV0VIAa8wuUEo1boktYaXneVzTiA4hTdV1msj0rdA3b1jLlwhHjpB92lJjo6KcJ
Q8VU72c9r3x1g3y2OlKryFA/lhk/G+qat01plfetTNe4gY7IznIp7ZvaD8anPqA2R4nJWhOAcf9K
hJR31Vv2sEN6k22waKiPsMrTvYyC6exFyfiYpJ6kz+nNPanf3G74+PaOYfkvYQXWe0P+fDpsh25Y
zB3VyJ3kaQQjNLTkZ5MtVu5aY/VaQ5OqSIOzA2LqR6vNYp+ujW7YcJq3vqR42maGHn4EMumDJ5Bh
+B4su6roTHqbFS23yWdnG6OzAsKmo1jy6m1KO8YT2rFlskHq36R3pWjML0k+1JTfRXlXg1h/szPD
v7XByXwq8TPszpWwKBu+h5Omu9n7pIgwXl2m/EvRTiPkgLCx88emUVV1nNI2hAXn980uhEf+dcga
7xQwATpNWtn0C5NT3VmFtP3jOiB5Tz3D2rG8RqfnDpM/xI5L9AMk1N54tNSMcWgcIJVPunnMZNC/
2zLnAFBWeQQj8taxkj47SvXVTq4+IXbcM6QlS6LvSWrvqQ3mHsUsprPrFF6Rip2qE2z+lb0Ehx7t
tLF38BL1m3Asq/CLaKFqHRpuTQdCiVxLxvQyYoDOx06Q+tdHcAZxMy5qI9ha/mjMSd+EBB+/ACwK
kG8Bl9T8Z4H4mld5d8UEp0JaKFpnTc6b5JURCKd8GpN+eUR4OfiXciK+jSS1qZi2SzbjuxiNMZ6Z
Shx6J3jF0VbC+ad9w01jOrDLl9wcY8fylmuazg47OTfWfhwRqhYpYc20ZsYT9p7wYvgL8UzYuPF0
1sMbrxzUJo583z23uhS3wDLdb1Lo8IXJDB5Q7iMq6cY7VIVsbpAFtd/cLk15mZDiXqZWW3sryuQn
bEUjObYhKQWMH7qCJOHFQbJRRGUH4rBjYIAdzO762G+wVWOZbsZrUSAJpS3UKfMI2UJPC6emdwky
rPS4aXBTebGjyNciv3pVI+fA1iiHYYSTumkCoTkqOjGxL4M5lIeBnJhtV3iwkNyu0V+dhPXDflB1
x52jpHwqGAd6ccLE8raifeF/hUuo4qzkwYTuGhX+VeuV7jvAL1KkSeSa4mKcMaXAT2Qu4BnEsmTl
dEUqzCpDtZoXv7TCr4tfoTZPu8y4q0PpzLFiWUvKlIPWI5x7SthcYimnEpf7YWmQ5CezVrR3VWu2
cSP6BmVLFqZvbjs3h8rX/o1MKkKX7Yql8b4PdLD18tD7xvo6MbbCxvXqo5GoOOXt8KtQbAUPlq/R
XkNmuis90zmCBwErIXpHPlSsOY7YbAHGZh29Bzwbtt58JTB6LYGPCFU7hKVt6eD2Y88AP/SQ2CXu
n80ILrE5iahL9E4DEjtA3GI1n8hkesUagGc/YbWNpiPAD+BrkpsgupIOEtvkYeG8iWYGaKw+knct
M+spBNI17Nw+9KkTitQ5+2rQ5Cl4g3i3kdozt8gnw9ojDDHRBw0ErpO5pJcXUWmaLh5PP9wW6RR4
cBHNKf2aY5g8lBCerxiIBPkez2J1YForP6u2tK8rrJUCJN1P7bcKOv8212n/pY088dKO5lBs9JwA
7xxxEflxYQQY+nMXiGE88qjg4UuWCjJzCGtDw5t8wvJNNz/ZHD+zbwlA9CMOAG3brX3hnICkkkK9
4wEtvNI6hVPbgb0Io8E5k7dA/FkupuBbh7D7Wfo26TMIWnmoC3vVKOY9OKQ0AwKCsIzUhl2huxrv
MOno6Tu4gOA8IYlZY2NEeAN2DfNYwPnJgY2+T66RF86yLbCrmVuvwgFGWoPFwMbPwI1th3xobkRJ
2hlD2mJ69RORbJeg1a+8SZ196UzsTWmTKn1pTHuAj2QETrSFDJd+JlYusv1kw9XarFyLNuZa4lyZ
CJIqn4UzuFdLVIOOMuEakszGNUlCnh+NBxcOA9oexbZraMz5Mlekk69dJLK+pptaErlkLcXOxkl6
b7dJ0RxCKqOOlilS29bknSfc3U3gcONEj7tewMQ2BZaIEY01B6oZ9RBbOTuHTVhOe2yWpr7MyBDb
2Gi5ZZAYNczRWJ8zTFKBzzmwZFF4o5ae6h5sZkkL5s8V1nCBmyZ0JISjOkzZ/5ljyrCIuDMWmcak
oGhhB0z2srR+QE4LH7qQBGHsu9ACXaPuJwJBRV/wGkskkQa5CdVOcWymJDa0xn1KqxF+sXMskKk/
kAABHYklP5wWY09b7+Y/YBLPbxhesXiK3M4fmOK6uCkrryU+L8gfChnOxyBkgbDP8G1/aXJN9M08
pF9EmVFJV2Ej7mQrvzaGk+zqPAiKk+AS2SXaxoLa9pggNdHD7yx0jM86b+YngeHb2OJvh8UZcOzO
Z8lV2G2mUBJKa0dTeMTtwiy7GKJvFHPdhwl97nkxJ+A9WOaJjqB+v8JRHIVxX6+fCAuqs3F83+ZQ
le53y2jHPVMLJJ4MFMi9qVycgZ6+U1Dl9dYoa0BQSzAuR4cH96Fvx+YhWbBKZALvKpCV1H7sWsWZ
3S9h/1QQeE5MX6ub/cJ8Jd0vYzBkcWkoJlFWo/xln7jaycna4ULlNRoc5pZ5Noobhg0FKRSLNSyX
xkHScFQoK1nPZH3oYh+yrVM/Z4/wJP1VajK/mwlscsOtt40pqk3YLnL8xkKmXUVz9ldqsgmsRyEy
/7GgNdkMNSRxdBp++tSBaXiiFk2JW40ywnaI7GkMyra2fUHMU/9Ap0kt6qD2aKFvmuV3G3Z6EWON
AsPvTwz7sde0MXxQIpxLDnoqSnSBh59Lx//uZ//dfhaJBFJ+1pX/+4r25j3FKFh9/skq+I8/9+t+
NvJ+4VWJ1uUnMgTf85G9/WooiEB4OJi/olXt5sEcY3P7e0aFjwvBQ1kT+fZP4wCilN8XtNA9Ilw5
oW87q/aI+Iq/LGT/bkFrr87HP+5nV8mJ44AOAxSymhntvwgkllBhnQefdprZve6q4D0N8miT5115
k7lzcqEk8baVUSKUKAgWL7RxaJl+vk+uF1yLUFmktYQH4bG7yJrxDjQOZrUqfE7dMtrKjqYGvSKj
jrnIuC3d4X7ouMtG2yGDodHyUeE4pM7sumOYucx4ccop/3rm6KVzBMQVIOXiULrXLHZ8uOQ7s0g6
qKPJ85Ql4b4bcNsFpXcBTeG/B8jjCXAjR6kmzaEII8pcWjG6GSYQUjIWHRCiaiMc96NiWmcLHAEk
o7Gv1KWzZQYIy98KthovPsA+1O+Ze+Qb/BxZoIxNeSHXYTcr+4ELGY82aAqw5hgc7R+elU9XRpYg
z+wYHx7srHvM+d3eotqsqeaM5sDl/IzSfeMb40V7/DKjvnEuYuYj505x41b9oTVAG5Nbec3hR1at
WZeHfOq/Nfa83CRfVEQfoFoZ7Tnbrlwrk8DPekDK8xZ09E7CsW9Ljh4rrH4wBl+2kS/2FrnoU+hj
kBdPLZGUWVPa2y4AID009MzEYG2NRRyNWd+zKxwIMVXTs84X7+QEJVITe9rmRQ2CE/Q4F3p6BEKQ
PXLSPGTO8JF4M6lLypX7aWJSIHA/MiMjooIUWMDeSdPE7O7EIezdJJaEcpxs9KNPTlk/OAUDvw3k
Ib1dr6ZHUyYLOhXVN4cePMPt5OMM8Z4dU/SHRfjVHRWDwWhuuE5N9zbDOgox/SWVM3QsplE9Bq2D
GLtL2qmTsUBaX9KXMR27M56K2Ztzvip1A/3iR1E9Ai3AOQAT/+gFjYzncsaiZu3caYhNzuxNGzkG
9T9tamO3N/jNLggO15UfR3wY7hnMroHvBBh/sYEnM14p2Uz5688WpxZCRicb89nOuf/CmSoJY42t
9lVGDwGb3jq0jDErz3p3cbudWZv9gO917RQLxWqJSLm9c/oQpr3YQoR56JbMeh2A+DL6rPOdq6Pw
MfKrfQVfh7+XdiN2ys64BUHs3YH/JZAjIpyhcmgEGrfV574r8j5Ws+dz8TvNlZOo+SzcLnz3SADA
Y1ClZwPP0YnUPM2cKWHm7qQrwE+r/JLZ+EsykXbHmXTOJ0UFsOVRVSenNudX0GysAtqxvkMTMNC6
VPKtmJMA+m5OWWUWBW1c5Z8ZbEbnBmjy3vLHcd9b1pr4uUzwQ9zyibHs9BQ2GP2E2ZTPZQdGuR1g
QLL5i7r3PhlgO1jZcOOOkXeNTaq5FGxl2aZUzo1nLfqqNzvr1RJS74IUVv1UR8TnYZU8dVnk3S50
ld8Zk2oX7srcfTYQfQimwjR4DaAuvxZNNF68le4hk9AiK3MYzLswnMyH0RnaG4v8zEtZ1Nkz29mI
hHjQojwqwcUxRvOCJ7Vnr8gWOtZlExww6MibiA+IPrWf74XEtHX8wy3zm8zm/1SaeUnOb/L//V/H
XE/lf+rEQsY+WNQcklvBA3lRYP1FBVowI6gdtaSnME0lwCX2IiehBnWDyp/MzQRnRGMh75ttqPZo
FpkxgiffeZTU9FX62R+UsacFBewSiDVwQllATQBPMiymOcvcPAWBr8Hd5HXq3WGhFmfmHTdB4lMG
tdFy1/hWtXGTUF7PKR0yT9KzBwp4A67fo2gayniwlMdIw3vqOnoYrcfyFqcJmvtx1slTM47YhyJC
LhZK7qWttlnFX7yxkW0TqgA//FAtWaJjlTNyPZjlaiMd4Pe+ArNv8y2aoHrnUd89O6TjvCoYm2hz
oCbY4YMOjAPO6CqeHULEkdHFiCOqLVwhH6ZfdTEcxKNzSf4JRomHZuovWdM9Jl0QYtA2sYJPHoE1
+UQ+D+UdJWbBBBoSHeZY7KNZeSbqbjgnXX0Jcl7/PJ+B1hI/MFa4JYTu5h39GqvJ0U+/ZYM3gs0f
3b0BX3pDJh/7Gph1nDHMwoAriYdm8VP2K2l5o6lU16gjHqUl4KlagH9dxsYjE1YLdck9I7rWnpk9
Z2ZqX9Lcb28KLzIfass377LCsa04yof+zHc9XQDC5NejCeEWaizPO1Nx9YnDAeSVEzjZ91LWVTx1
ybTv1jcFYIZ/Dte3h9kdbfz6RkkVQmFPJuemAEV+37R5e3HNivs5U3C+Rq7Kyu/UO1BrPNY6csGf
r29wtL7LrHWnpyQoqqdhfdPJ70pPzeCM+3Y9B/L1RGBp6J8bZtfx0Fbrc9CGjyiR5Fu+nibLeq4s
6wnjrmcN7ao69ev5g8wjfQIa0h0jozFPRWjll4q58RBPfVe+dGzmT1BWolPTj+lZ9hqBCpSCdyHt
+YwCobkyyUm4y5DX9FBRF32mAPEZm4TZYRJ+vx+a3L/jvzZudZv6sUXcM0QTqvKYMTAmfzPpQtgf
S0SFUkQWHzuMmPNsbC8QI/DLhBTwlhj4MrZSp5uPJeOg4aYKBJIbr/UkzUykli29kxcdmYoTWFMt
Km1e0NdhSLS9ouljUTlFf6xTFlEXW5r4fmqVgyTRfThowoiqeeS1yyPm2lC83E2YZTPyoXltmMvF
W7ivPSgJMTNbdntsN+sD0irn1jEG+xrfs3c/GTSnMnLwQAjXelAYWAo4O0lpHlo/k3KHZQkYZSLq
iL6kST6cwYe6E0bo8jddsGQG0x5JBTQABJdxwLH5dZEyd8A8VhZnC7gGhvmd1VqXzunthwJCIjnk
7T1AMFLEhCDQXsGm6u3qqJCM41Dsn/vh4i9Ou0sT8zoIYVK4OQYwuzcSSNQO05AuT9hsMRCy8OSh
GQIVUNJnbhw3GDfmIN6aIhr3sxi/WZVD79Q5xEvN9l1ituNN3fOOQsj/yIMPon2iq9lO2MEFs70d
eq4Bp27djQjMQ5DVhK9aD6IOIpxq4Z2VjMkxKwM/Tku4ubp1g3PvT7jm66SM89y5SkLjgbE7d15u
OReD+39nLs03qWpj/Y5A6s+Ns+my8Y7r/HmxmvyHR0TCiZEWq0dZL2dozuNmInrnixWa81agVPnB
4pBnUKd148Sq61nrySgP0l+lx//t8/5Nn4fT++95jbefucre/9ji/fZHftPfEkHoo7HFVmOuclmX
Bus3w7j1i2vyf55l0snBYkHM/Xt/Z//iYfhHZfvTJ2Otqtjf+jsr+AWtLuc1z1bkOg4S8P+gvwv8
P1cK6G9DD5sGvnEnZMRPXuCfFeU5byzBZ1yMjayhJ9SlJyvWoIZ5nQUA8SF3RXvdWMmOYjsrd7Ys
k4tFmvw+kVN7LgRG1WQyy4R4oTxqNgnC9I0NYZVYjQT61sEmcPB6svIMlhTzLYxSfUjiOhuPK8aq
7VdC7eVW27U85Y7MjmUhuqMuh343KL2uo9PqNncDl1wQIPLR1qMfAIfErBP+3gyFFS5g12FaDKV7
zicIwxvduIpxlWNcE6cLWt7kQCDLN5qM74nSHJ+U2NFHHnUctubI0s4jzhgi9arBKZb6EnqO/6LQ
EU47NuJshouGccumyzuCim0y0LcszcUX0cvXcTHza17jp6QDl+al5XBilNe9+/6SnV0b0kTS9f6j
v7jy2syFfcAWDMIF4hsj9yo7DbNB4Ntgwsjq5D6tq2UX8avbWanIGD12CVbObHzoKja4sLWvw3qS
Z9JZ4Mur4tNOMUVpv84f2BkKyvNG7rxgmN8I1/YvGWc7JEPTqJhcYtrF9kinf1XUueAmNR0URUpj
Vd4Auw7PRp/iFeCXRqSJlJaFagfiL9yWLAifrXQx7/xZTQ/RIGWEKTm317ittL0tUIMgWClt9U4q
5dieRqRjZz+FKrbBhpTcolHAq1K24TBsyg665HlsLMnWkNAG5ruBq7ntmjS6UwOhMbHfB264r2bo
XWqCUZY0wEnAfpDqA64Fu+ned1l52GMh2Mkr+wYnlXgzBk3cghqrQ8VKcf1IA7LuNAqfm155O68P
Jxz05XDbk+zGVwmIZN64UwhVj/i34TG0kCxsytyxX7Q3+l/qxgIv3oyddY8Zw79lCjOUW69L6iMq
cJLbI3dssNEieOhxRX6AiRH3Ks8cZn1ZShBfPs9s9vhIw15Li0J0lutW2ffzhwzoyhFuCCnhrCD2
VIKE2KENqo9tE9TXdAf9Ph0e7S7XLGZBZaNtqMd2iutiHm50z+/YQpv2SrOt7zzSNdFFQEEKu+oW
a9CNM8/WttDTAoNHrut9g18ZiMq4Qwp4HUk0cgcJTpC3ep6QOHRdThsA2psVbGd3y06D+Vlio5lQ
wRrm+D0QySvrn+7CmrG6HltyG9MGlfdGMPjHZ1K64Igmcp8XFSqi0qzkVij8z6j5kuqscUcBehyJ
K447Mw/uq1yqL1ZBmClbfBlcq8jqvk42EYtbq2sYfQfsUM5ek8CdGEme00iWUp+LcnDC+Y0GOHce
kYCPW+VV9Sd56TVSKpJ0/OYS8uxH7AsZe1ov2JSnicZ03fGIdCBhrnbcwiQYNEmiS0XMg9h6M0Ne
OiWI1aMOwvIqN/jrY9Ma5mfgQtbW0335YtmTW15l5PQc4LYUIl7gvbCL0xzTG45os9gFnpYvWIbG
g47YW+BN9b/olmrBcnp1QxdYPcvO81DT2T6b6FBO5mcQiOCgYEZeA4OEVJMZyX7oRbKOYhbntram
+aNSCUV2R15R0PXeceIt4oRtUna+ffM05jYrZ0nm+Yyx0W3rz5Q8l/vF9ZPvgqyhY8HO67MbJ7QE
tslfbCWg5naA+whfmVLHU085hWEYu4EKU8wPsA0fZtVieQ+Y8vj7oOU/PaWCEVHPJBpogaikf0zs
qUi2JQ2bvK6w4tqnks0Y3aOdj6RQFenyhBjVxhWQucgaiE91s60KXZYitrfmWYYqKq4nRIZcL6kD
tjpDnLiQx8YWO6kPM2sgZt41X6VMbyUhj5cuhM5kuNM0bQyXpbHDxQOfXq1hnoJ1uY78ERr2VF6n
RTc+ozdO0RtFEPYW127edMfHiTsIH6C3xqnxtoFunXOKcWLZt0G5ApdkE4hjkVZjSbBaOX8z3VaQ
81LM0UfWGiuaROQjLtIgWxy8FmYVHVhcgps1yb5BLZd77ox0uZYPKgjUmnonguyc+KQsbH2tU/Qs
HPD5bVCbHXu8bKyJyUHvOja2O15Ltx6PuGN4C5RRnmt4lOxaGQCzfEViIlAXskvKSJLANbdXGOTf
2355cAds4SgLE/1oTgWbHlbOaMB70ZGWUJJ0rjb2UvjvXTqbclvQcrx02tNR7Pp4F45sV4eMStVf
/I0ClrtwZos+JuB3/g7FzHz2rH587NnzFtt6mPtHn1H1ueUd3kyG7T5YqnVfDBWVZw5s90p58CU8
QezDOM7XAFTcKdZ+RmvpFWh0lyu754VF5yOXT7pLV3DhuPPMP1HR9eZZSTgfMlg2qcjQOgAH3WhU
B1e6zg8Kp1nvG4PE2nsnpcP1GC+uf7sZngur9NNDjubvWUyC8y5ABYQKuo76boc6sb81CAdPyBy2
o5dGRuXRQgQKj8U1WyZ8mOowphpJMm39jHptA4+38LaqUHzRORE+5S3zClZg4aAk+pzCvO1I5pxR
f2sEJR1hTNQQEX0nMn/92pZVeavthQFxCpUEAa2nHhkIGO+wAT3C9rRaY6pSxF2mWWYuGy67bWNb
uuUtn7q9SjLSPY9+Y6I/LzKtvitGRGz50zGF04JnKzjWc4+roNOMNmLIUjkTGTPjwPYXy0CV0Zcj
OYFms8TIX5E3p57VfBI1QfcWVEN9pTLmfLE7tt9CQLjHpl2Cb5qBMOPIiR6FdgvPeczNtOyauhVU
DsJMX70k7S6eKYYXI5cstM1ZievBqp/DsSUOTSIDtnYB3pNz2SmxE+UgyIkluB5vdMJVlnRfl6qu
T11b8J0PcOFucCXC5QKe2aNuRqJSasGuWvpIKfdVods7kWNQ2hhJb1gYGQUYNfRq+jXXRadZkjNG
gzJoj1/nrETsCtVQgECBaEvUXZg+a2DC36G9EymbDPRPu1rXC6liS8WjN6Vlu136rmk5ldEObVrF
0o5Rmh9tE1swnyIb4cvA7n3TOhm51f7qcGEwDIQa6tkyZwcK0iOJNTC/O4GO0p3hsiBqJd22mPr6
CgN9vUH449LEBhyBeVmolzGPih0ZAFPMvc95QraMfZWGTnLsU9lc6iEdn9CAjbFEM7EF+z69Rq0v
Ja2d2X6kuIRwUmSZ820q6xgnzi4p6uU1S/zvQ87iw4CYDcDOHqxNOKOgQE8Xej+lwSgeE8A2iAWy
5TDP8PAgqXfmV8vlNnrJ2tooN8vEjJgmPjwtAAHxlXQSzUfaN8wuRvTELQdtVXw0qTexWOSA2I5u
TaPth5mBVLiOGgA8wiFoJSWSIJfNQx3l45ekx7DjjdIeD0pQZRpZdR5sxLmbtkeDczRUybikqyr0
+5UdjU+oHNEneq1fA1wtyo/Aokiw88L1tmvg2PfONfBkhbbP3z2F3T0nkGnH2nQg+BRFre7MZoyY
RFk4QljiRXeFqLpHE7N+cUh8BEjIaav2zWfxBGobNodFjm83vzLTbb7pNODtCHrEdGdePArDvMrq
98jX6gncvHPRrmPflZOlnkMnRJrgNBq/ipP67MdshMjxkBvRAVUp8ShdNWZwvU396fZzlB/rJY/O
PqsTFhB1gMYDjmWI0ml2UDwL1eNyNu0MaErppujQgvSrHdg+bFmCOTdS49nfEMJDHjMlm/Uekbp4
xcSctAy7JCJ8DtcSbOgRHLHXsjuKA4fQYmpCZoXRrC7IVJCXtriKjM1iJ2YE78Qtv3NIiHdBEu61
DEnR3TIjqnb8ztDgDiFzzgGxO8S6nJ0CmeD1F+WL4czL6jLWGI14aBzrynKwoIVof5BN63HHqcrI
NiAjYItRKCHJ3V/9H+kyp88ildFnGjW82h28z49Je+LSNV5EqCL5n8Tkqs76ADEJ1N7MUMobhY18
n75xxDqzq+3p3CUw3dulEDu4gPLWEUt1VwfkMseEufkxNEIOlqaGodwpAq85JN8jaQabOtTeG5jP
5WOSLcmOTTinK6ZQfDQ2+ThkjqSPKJSKr6RQmo+YfOj/GLm1N2zDkvGAH0OhPAvsvoh5sUx735se
yOy86842r8VuKscev5dxHEOKgqp6xHQA4z3jc98zp8fO5jYOXEg8t+c5rUg40VMvsf842XFaKC62
BNQsWYyeLPv0nYZiEdPcrvWC8oDZaUn3HskE5xSp4B04q+wk+QKeEMnLR86L9pI6fAwqI6ugdMlm
5I1cuDMCjyd7hFjKF5rQfr0GgtN2ityUlPHl+e+3D//i6I38iHwJILamGQX+Otb4I98D9UtL/Hq/
HIrOEveg5PsbN1uJ/JUVXOWLZAWypjr8/Q9dKQv/XHgwxohYkDsO876fS2rnLwsPm+CUhVnyBHMo
lReqjP4OS2i9ZT2YPTVLR3LqPPuAysb2+9//5D/TJn79yYxN8IIGLmhd9y8MnsbzxkCWZF3A83Qo
dQJ32Ey1b4A9W1d2kiSyz58/8b+juH83iiNohvHV/663uNOf+lv2vevmP43jfv1j/7DDo3Hw1sHb
SmJciYu/jeMC7xfYQiZjt9/ozPx/fhvHWcSsuLbDTs3yUFbYLkOy38dx5i+reZ4ZoYPUAqnPf5SY
sr4af3qKOfnx6ptcSavcNvzLU/xP9icZC69kC+ORoURIU40MDwbvpmj1tE+j4NJUzrc//Kb+PzvD
f3mM//KjVx3IHxhAtrCCojDXSCy3oLTK0NBmYjk2RfIxtshW//6n2esn+eMnDWwChEBhEy/vuy78
jT//OJEM7FHQqu0HUHwA1RMWLQyHkCLYxX5WzVczFeLAN93upNSEowdDAOzV9LaDr7/CcUdIv6yi
teIOE+m1JyZYUNLb9Gby0raJza+qz1lOirPlQAb7+389vKl/+eeD4wa9FUD0tHmg/nLGkdqFDBCj
OaS+vj4GBDqrDeJ/3O2Du9ZVi4fdag63C/OxO4jb+SMZ57f2tGoobe5oU7dfC9Z6q5/r1XCrS+a4
B8YAH2mAHgDPzKmnNGLSz39rlxDMqhVVn47hwa8zZInh3J7S1jafjMpk5QNG5Yh5fYuOD+H8/Vyb
scjy3eBlD64njuk8fqAl3YC82iGU3U7J0MdpXtyzXnxo5Pzotp/zmgODhuZtyqflEBDEu6VuDq7r
LqIkt5riFIUatmVGBJtSvtx6IR9mqpwvbmc5B1B06ZNfmPeohJkgRvxkpx3kBRzd/C7KPjjUkWDq
QEDimf3htHGxrgQbH9fx1rV0fjujOdm4IHmPZlBwywW0Yx5A6iuXWJoLKa6oHyKh7kZ2vLDuFbJa
VYdvjmkHgPFJfg9JB6E8XefPzNmw2yTRzhsz+6PxluF7o3vzarDOo52NBGMv6DbNUCkQREW9R5S1
XFWaH2H6CxTrytobVdB85rn4zNPaP4004lglUCHCs7g3FLzOes6ukkK+Ejlw1ZJpkQ4+1Qtfjafm
DmsQf6AR5HiNZSK23A/tNQ3YbtL1UyD5vv/+gbTXKf0fXydKDcYovuPySDJCWlkef3x7o7S2WpSX
1k5LWJ/b3IPYGTdtj5MfgWPDpMJznmD1TZcl08ZblnjrhHcVJCd5y8g7cJ4nm/TjdWQ3ah1+n6pw
fnQKUx6Ul6jYj5SJoKcuXlSrNc1lYv74+RH+e6n920stMjld/u5Sq8T7x58vtJ9/5NcLLUAKyG3B
c+7A2/JZ4fzjQnNIG+BGQrbHgsQ3V2nfbxeaw34JTDFFZuhxpa2Py+/ywYhbkGKGP0gF5/um/Z+s
l1hj/eXB5D71PduBe+uSFQeB+88P5uoe9jH0VQetB3XsrEK/V/n/UHcmvZEr6RX9K4b3fOA8ALYX
OWdKSk2llFQbQiqpOA9BMoIM/nof5mvD3Y2GYS9swL17aA2lzGTEN9x7rt+ulo73ARRHfzMKFpkl
ElnsiyFw1apOjt0U5jdkAKBzYGp6CZFofEWdiQvXDYxdwEKNDUA+3RhFnW4Zrfgrpqvxya1Y9CTT
/EEsC16jbONIQqz9qboxDNRvPMVQehssNF2UMSinMWDmcbEb9wu979pRXnUq+lbs7aq0mDGaMBtE
y92LOyJj9hlYL6WXkbokirQ8MRqt7wjWm++pa6tfsuDQRY3jf+qMBo7fN96D8jZ2tmtApwE4nFxQ
UnrrzlDMXoDEb7ooLn56lQREP/NbY1xlqPjpmr8UtK8jA93k1SVW6WjUjUOuH1Fnoq4eScNq8A2n
wym3dEWDE073SBZDQsG8CWMRbLAJ0MAkH1KE4Aej8OubJhnlEyIMD2B9bacr0Hj2i2aomXTT9Jyh
5zr3qcsyLVbN3qiCBwby6mWIzORblFn3lvmj+1ixLls1Zhg9ZKFw2NuTHVX5cfas8som8EVfcnBR
D6mXWRwdwjuSUIq8jDz3W5WG9WVkUcgIHcDz1CescxKwsID9P0bRZuc0DRkUisyy0BKMgXrmtEdP
1KbfMSoiiCoF1ZD0BfBGHTMK1u0vfyYtK9fhvAmi6TW120OReidJwNs2ay3rURE5ts3CvHjIgzF6
c/2pvbV0696gh8NrJufyi42AwmbR0b/jBvLOGtTJuZ7b5YpGqPSr9aTAsJVUx36imwIXOZ4q043P
I670Ayc52lErhBhBXPqd0MF33N1Y9huh9+YWkFf0zDC3OZVe32/muA5IMctlu50TnSTozdt6XvEm
VA84BYpzlM49OZ+zfrHn0sJZxKIzcRvxChQfEaOOABqbSA21LWA4MypcAz8ZN9LiDaK7tqO7asTr
gV697Q9mGmN0qdWAPcH/LTEKngeJc1bYItrhJZgIpLOn48Atc6a3Qo5LxGyE52mXZUG44w4LfkTM
plgLV+WHnxpi5fcZbmTPN2IGzoz64JuRuDdr9PA1ystJy2ZtaFMw7W7MrTtnlJGZFqBsG32whQz2
JYwUrI/BfT11+8ohmhaqTHsXh7G78dC+eIO/WizR+zkhlbZCQ5Kj6WC+uh7t5tNL9Z5hVQa5Fz8Y
kLPikXl2xlAY21LBAM+1Cnfn40faI9mob0LbDN+LbNJk3Zq1erQyMT75dfuO3uWznhPUYf0tcRe/
clX7D3NchIcWkOuORVnM4bP8RLLinfVojQRzzE9j7z6hJGLuW3bDhiJTPycIhEiRx0HFygBDS4bb
2mvOXTZPW8aFsGClj+TDb+VrumTFmYSK7LvCN9kCMGdvdG2BJk2GU9M77lYOcPCGsIh3fuM7d4x3
eZgoo7cxE5Rnh5IaBaoL+EVH07pXChOB18zkupX1NiTelGHS3E6vSRWHiHNzEtQKKhwK8eY0BUa2
GDD6vWpyfVzgycnKoo47IhIkdlnG80OYzN6O2Ve/ih1wd8TFThC0ebd1AcHHA3tCWmM67ItIoPyJ
g2bVaknVKhHmkHfrfLY5yju+utG3DBatdYU3F294E78yrJrXeBswgUejOpliqk8450LkMlH9idFm
uKFSM5HhFOYTDzlMVgQDYIdH4WfryR6dFz9rAuBMmnjbop4khQthFucepA6xY1no7HLFoHrChvU1
RdWLMwqxbXW2N4h0wLoFXthtoMQWtfemauNR9uNZZ/zlMdGMQG+WMb6HrSf08zegXjPrmzDHdkxo
VQMdfBN3ZQSxy/Y8hqJpv+ojyfM/MOzrM3hMQ+0RuBaU28JkUZMmJBXWsSLmNriVuSdJKGSMVQDU
y+emp5ANn+tZYedtuLtXXu0Oz5his2Wn9lUwQzuMTQKAP1Z3iB4fc8d3N0VuTLs5VN066013NzTj
vCdesd07Hie4R+wc+XOoomRFtcvC5jFVwUvut0OEpt1Bo1a0+q3NOTZWSVzl3kH5MQwGzKVrk2jC
vow7HKv9ohiI9c+MCv7J9MEF8NPXoOkPsULxWXDql9kP5jBnu0q2jYEllGieasvg0lx5ZWys06lP
b4l9y08TWTZHcqcE223HfYW57bz3Tj5C6Q2LI7fEoR7i9jkh53GvBQDXtaXUiFIjrdu3aQ6SG+Hr
4T6odHvTGMHwzdYd/wvoIa5BTZNRVPWup2HfBDNRcj2iqhV2rq1vyjdpqzNBeDdyzOezVSW0MSnh
5zwp65idCPY1kTWESOYcqgSpnEjnwL7n9LfIGdYVpfDKTgfMgbkDwIw+1FoiBkXutCvMXsXGmocj
eAcIFGF7a7NqQHGQf+MnjrydX7M4Yhtid89OMorbNvwOJmf8nQU6PosJx/sYe/aNhx+w3pPxO/gb
IpiGj5lr6DufzXDT4qTCw5y2S4LgJLjesH39wBiIdclEeY6GryCEciwz8aiVOWx0i8bG0D3AlGFx
yWY4Cy8cPYvIMJ72vahJJbX1uDdtJt1zCLdH4jheayv1nw0iigj203O1B/kANttJ+x8ts/mpF+F9
aBDEt8I+etEZNs22oURJzPYbWfv0owUMSYpc4O+kW3J7O04VPaImukyBemhqYnnqOj0zHCVnGlvT
4Mg3a+heOtq3lVMXziNzlWZXR4wBuPaiuzqu6FrZVAZvuQfyqqGsANP+K0/dPSCNw9yDZcqCwziM
khWjS6czuxVhsIVDLiz5fLzs+bbJPXhypoDfLh+0YT4VZvqLC+2C0uOr99z9Yio/Y5IXu8RySSTP
iQjwkG5z71KFxenWA/C8yf1Z37W9a65jNA4bR7sApb10V7IHSzfjFPQbUP3ynCy5tkEriLg12G5s
cs90fnD8hrd67rH9DUsIGyU8DDOLqtNNz2ZTZDeYAeFVK0C9Yu7NR6o4/dzk5bxz1YhOP6yohPMv
N6GArSZX3kje6LUo5Z0PXQUnCZLB3kMp6vU2WZ+Q106xnREC4VjTAQWnuQb185GzkYLmUZa3jKOX
gErhQ/hjsS56f9o0c+rd9mNsPVB+ixPyCfvQwg8iUTq/qYCBvkuMpheIieHGVqhbVoUmVD1AwfXU
Me28j2LL2o958xGWNf/eqGtJAq9ifCD+Ed0JBmYxvAn0UEI13iazcVnqSuz9ARZFbFrGq5dV4Vtd
jcY2A5n4UrvdBqAtHTx+DMkGTBnfWDZRFmSW/ziiqVlPLCXYZ7FhPEGcKA+DQIMilX9wxsHnRa2S
WzBr7UMQckklDXEDQy1f23QQt1ifu/cmg3haeGJZn4LY5+BZoFQjkdlWLMiKzNGO4pOP12MSGTvE
GtF69lxv3yoZv9Q6FY8oq8ONSEX85BAgcgad1x6pwcanxi7r1w57CX6LEWmT5+kn26jMlcqG8qup
rGAvMr/+HbFJIMKgddehoIJGduDekqSMH2Y26uoD1yYYPzXnuN0RwNwgbc6ek4Qqj+WeyC4QK7ky
SB/d2DJOzlZpmvvEqcyzhXmdwKkEPn7a98d4rkClB3Xys3Zn6EPskTaY/6svV8joDFPBu2jLIuJk
GP2VD0j9PepF8lSw731uxsk+jWEIYCi3MsVLzw6K3We25YnJ132/XK51+tjn7g5RcErB1vcXmTKa
MQDfnwOwlGt/FPXZ7eEPVKYXbOc4/h5rJFVL6qO/q0tN6TY58Y45WPhuTR16DPxbT+Ps99tpsMRN
0uc+9adPsNbgeT9pWcV2rpLoux2I/YhoAI+pDpt7H5L/WVlpdvDcgYLcrcWpIR2bW8ONdmAZWRzZ
2UNhjDV7dyrzEAcMWh+LzQ2oprM9d/eVmdqrYfKI0gwGQjTngvFha0cIypHqemNX/OYPFds4aoMb
uEIM3coBws5Y6t9ePP8aqkKvQuilqMbCBCkTlGZ+S4a6j+jIqqzjmzhNziQGUDliErEJ8dqgzVTw
sb3sNVvCxsa5fG9CRe5qkgd3i6GqQqW9qxGYrBu7H2+WJh8kSP2NwXUPeY4c0CHS2xgTy6YF2nNJ
U9twMOEu5hKeuU2p2EX7IsXyITvr1qUEWwvbrl8SCviYXk5dEtPzV4Ywn3OdxDs33oVjvLcKUZzA
tD/mo78JEsIpYk1JbpqYFCx9xs8udkMCwYaUrfvc7T/5eE6wN6r8DAxiRljVYbwewP+Mke/uu5kh
LDbrmpRhhw9qGZN60+X+PW7+9zk1zwnn55YsAXOpDTL8UxD1VWvYW/q8+BDiOCdtIuseVVtmOKR7
cVB9NG8Nb8m69fr8ZClWqUJV4b2ctbvvkaatay+5UwHhOfwuEv6ySVrjCjAITKIih/9qNXEPIimy
XwlFXk+LDkqUSxpaUxIX0xps+ArvkDa3RRiCiEvUeMssD0xoaEzquffy+r2KbR4eh9jmX11cz8Yq
Tpd8CTMVk4lTLH+sOst4wgpZDdWxcxW0G9LIB8pMTwGTK+pzPuTWT27A7twaJW1uCgC/zkkiWoEM
g8kJFOtNIrm/YNSBW6boW1ZDBixhVRFVc4SDZ+1BdA17POI+QtGpOOnBl0dPN96TM7nuXmKU+uV3
Oct6TPzZe4MsBvFABWOtbXkYFYcnL010EwurOeILDA+RPSLQ8N1inTX9wMS6c9/opceLkln1PIjR
PReBTTyRVTfzyje7e4f39NGubP4xOKwviT1+t2Vub+mEslNqKuueZG9AklOM9MhxFHMDb9FiscS+
57a1tpULRYHqo1ppbdwC0IOVCP11F1BYrCJLQI0vl1hFG0onZTrgkbPZRsFzUE4G0mR7pOBuqjvi
A7eIGFH2Jh4nlkqyg69VcYo6ID/R0PwgFO6ja8e7WWfGKh+zr6Jw82MgOpxm+ACImhftyplee5qf
kGeY4A19B5nvJ4HuxgmCQfr4vzL3/H8UscZF4v6XE82nj/yjH9KP+m+Gmn9+11+GmmSeBj5hqFeB
uxMwn/xTM+9Hf7jknOCTNi1kg1c1/X/MNM0/LPjS/9AT7fzBeBw5vec4ZmiZnvc/GWripP67oaZl
k8NqwueOosAJEPb/7VCzMdvJQDHb78zKr8q9ES9gB7v0qPb6iHUBI3fQD4jGen8fXZEQgg1DvakW
UkTfRTg9KjsJb2xVOLvRmRzCbqIiW9PpgJkIxg7l1nzFT+SysuVtBJRCBjl4ikIQ2LDXncMkTqkW
yiiAo3FN4GN8R2Bj1yEyqv0jHr2220pZVYz+MZO9z9lEnpIF5CbZgqulAoREirHYrOPkdgqV/+mg
q9omQTSiUY9CbFXWfCeM0NhW7VxgAsXj2wpZPCkbco+yTeNDX8Ed2HL9z6oY6jcbTVvHrHQBfFRe
nKYkXsH9UGaQv5ZhBdZBXJkg7Qj2ax8Aon/uF14I7jjQIeZCEdG6JTtm1tO7E7oTfI7abEECIn0C
cnPFkFyRJACYU3NTXlEl/hVboqoMsbzqoDesktpp7zl4BQeKJaP39oo+AcPLHiu7IlFG9qhoDDEO
nEEfee8huFIALcQVoZeKeM773imx+V1hK0awgFdCBSNz36Nfs46ES3Rrd6krpRwYOtjD0PMHcF5h
mJ66aifwB3w6g0T0mLvtA/M59yu1rOklwpyH/unKgxnR2JzaYoZJ6rTjRDz62F7Ya2FQv2JkKk9i
4qmJuOdCISblkl6ZM6IFMi3mCBO+mN3myfKTXMDc7KeLGofyAXd4+gjVNO92MSiiA3Dhfu8skJv8
T+ANXKsgBLInIeGECIRfGTupjmy00SJP58rNQaClbQJEwOl4V7JOdKXsWOiVUGUxh+c9AzmyYiBs
/uiFQikWh75uVxSHcIFaLo0YclnAADPiqrpIf0H8yHKc3tn6hrewneCU4cAAB6SuaKAU/1VMKeRD
gIPqWTt7wuwXftBIz70drlwhszEUnOlI3tKP2csEJyRBDw9pVFDscP73VbWOVDU/xFdeEagw0s4i
Ikcz4TsPFnTHm0nBlNqXoEBwh+GDf69tWdwEVx6S1eDxawcz2FhXXhLzt+GUxdqHgjvhrO+8etwC
3PLfoyRnI15ZmcUIThrAP2kPIrhZrQ2+TNjdMXSmId8xdJA7swFoQ1isAdCJPj95cmc7kiuR5tGb
OWbiNTfL8NNXoUtOuBrQVRr88HzhRblN+CpVBhe8cego9GC5H4GXMT5MAHj6zKgW+FS0cKiwR456
U0jpnjoFWGsF6jHOd7Qo8s1r0v4TizY9ZXkFXHVX2JVdzNI5FNoGgpX4Jr85RmQvVwjkEC6LKzQL
AAwWmxTZA95JP2rT9fQnZOsK3IKsPgLbm1xrY7cLkisKkSStECwtS2xzIPKNgQUILxSm0UfjGtlH
ccV72Qvpi5mPtcsX+lfNE04Pbfbpr873m3OwcMIm05wvaSSJALEXlli3UMXCK2BsusLGkoU7Zsy1
AyTaXYjXTXQbIgB94ROVL9xSPpVXfBmXiX4vpC7PBAmAN0NI6RJRXST2Hn1zzZo4UOQeIooPkl5A
roWTVl+RaTK3JO3LsKDUktKfnzlsvOoHVpz4I8yN8GxfCWw+9cMJe2bxBi6R9VI4hEGwMsvKeIWF
Ic+Ab0xm8Mz3Afa0MN4ojUHN8HzfmgRofQ0OQAHO9oUOF6LDCC/ulRonrwQ5Fmc62LtXshwBfGa/
Jk3Ase+6BT4XLBi68Eqks0bgdBUNzsaFkgA36Aqvg2KXDODsnAVsN9it/CgX2J0cwd7ZCwDPmzzj
2eU4q1DXCWTjuMHxKADBt7eErKkPpM2OfyAPpX5gI4CvRyEnY+MxAN5bEHwDecHt1mrGcGu1TlMf
unhws2fTrSaPr42zC9MGUAkyDcsddhrnWEw2xL/Cnak/7dG0vphjBvdI3J2fhqGqB1tbzc4Rk7yU
cAezhyplicQ/nppu5Xhj/TNfkINYEcjEkguIENRZuk6zrgm3xoxDBd58OQY/kgVgCFbDxrtTkVfg
/Uk47ImXwLSaEDTNdmaAPx977AgaeBaEByAO9ZTGL+LN8YO8UhQx7EJUDIeAU8tdQIv9glwcnSI+
AIM2d3YVlWt3QTMWC6SRMGX7kEiV/oAXna5aK1TbFosWeoFBvveakcsqqRbEsgszHdkyz6GBKSSo
6fs75x781ZOEk7txfPHaJOh+gKOSE5mjLGwyL77JnE4CderdrynNzWMCi2ptewiZB9XqjaszIJa0
r7EIvkEvfw6Ja+ytjMTvISavYg22wSKpOJnc16Gg4do2LScxss0eADrb0NE5uihlyRvDAtEeR5e0
hRXSfnDgjuF7LJ9KjW82Qe0+E7oZQh2b0vCraUQDcMIarAsBica8anF4e4cR5NR0Rllcf8X44hAt
K0odN4Ust7Ryza075KyQInNxX+TG1laCEIKU0TPKyHBDoAmTttLJ8mMD03qb5nnwVHh44z0VlxsS
uwHuhpn9OySx7b0MnX4zzbr/NACRrxktuNlmNLFPrFwv9s8BmxWCEsfaYotQYoE2O9LrbnXeGMaL
CzFakEWosmYdoj6vN7bI1HwWi99tW/GBSQjLQbCM9XhwrK3qkunYZoZzFvCgMoBPDsyBxpIOol16
zGM0O/13uKiRKr8c+eyEbXmsKjgta04EFQCHNMP7eQa0AFW+i+7GuY1uTYJD4JVYMv2s2t45eV1n
FKsYB8Jnaw9wdIao0T/RvQz5Bs433hW2v+BwJHaDAOyfRYjDYAKDPiZISfeVhrtA+wwX1eoIR1jJ
wgn8lT35p6LClIbulfa28e3+QhGFKxDDuv2rF7p7k82QnsrKC9NNbYfQVbmUpnOCIoibhH28gVze
g0jTO1Z+LwMLjANMogGYspHOG6sYOv+WFqw6evjEMXtw2O3GsVtuPxp0GKaTye/DUjrfAR/Hdz0h
ZthUXsmwL5qbi4NmLUC8mzXHEAD5Wz4KSS4jW6ZHlbdJswmxGeqtzPiRt+yHdHbfWUTuTnkPmtiB
h/XBekA82m3lP8V9F+BPtf2BDQgxk0xlpM3nRHkohQtSSU0YDfmmY/6B0zvFFWdQmD56iTfeyJiX
Zx2nFgQajnHvUoxUxRwZKaDFzASev4VOFFaviZc336jDIK8V6L35knGpjvK0naHNSkICKRTiJ60m
/IEhSFNz1YhBzzw2EWuUosoCSMQiZ7TCAa0h0efpcCli12LhxR19Lxsd39RSqS2PQPddSc96GguV
9hurjcrHdJ6MF1uY0cUGUrG3VRR9S0eZLxqm0U3oeca7JkOdlYzI58exyeU75y/lgisGm9zLsM/h
IC6enLEyw6MJV/u1yTTGIMkd84r8BDq+W0Bs5RAw82KPXZ49nRs5ZE4kDkYBKmWTvY/J3i0k3qSO
ATdR/Z/8QCE5alTqHLPe9sudMBl8MZLgdoOGmQq9J786yU7z4Bc3nnRRuEl34chlOT78jYzK6Ldi
p/Cr7xhMooeUtb3t6aUubq5T8LXpOHXW3sSot4TAd6l7wlGMPdIx8jbfefM4KmfFxCIyPpquDw4a
AGbYbMjhwDxL7OeMJ2NWtDsbRDZN+MaawAqfPKihrOX5pLUutg7LIwg5lh8epM5eJwCUxgGc5zCV
wTYB2W/sp9r1gd/4+CvkjF/pFhZji1PJcZVzxulKwQq0HY146P0wuW9mMk11/FhE1AQPpbTmOuFG
iOB3kPVDTknKVr/cVmEit7bpmL6zdiqlFiQVzmrWYHUqhLhL54byiKAFiTTGaiv3POROHZ88q1fp
fTgGEhdrFsfjAZwLocQkSDxiQhUGdmdqkh+a6du8j4T2nF0/zWl2ZKWYwZlN2q464HxlzQ+kXfc/
q1mbH1GWF/6y//Xin4Wf1OAjp8QKKJIGMq9530f8q8j4YZbaEBoz0ME6Y7eUaNv86UCXIWd46Ea5
FnG7sPU8Hd1yfYvxAKwDdhXwFTC6Xk+yqWkX+wG/DNqJ2J+e0xo4MTAywmJ2hHc64ap2ZZLfNcAd
gjUz74YEggKcEikFytgMyejviZuI4pPToYnZtbigxTqq4yA+1UJqYa8AGpvIhBowGFvD8Mv+fSoo
t1sx6equXHS/eLGxU+NzQdzfnmqT9JZDHEaLvt6rgvTCJeX3RzjrNWWOOY637HVw/EN+6VX1AhrS
zT8tnuHmMZGDhonS4gBnhYCPzux99ZCLKHrPKe7AxWpUAJuePwd8bZfp+WAlbGZuUoMNwTaMvcBl
TxAMu8DuhM8ksTNuMBa9RzmLkpWwgC6nRcudSKreT8OZGBjjEH3I++QpV8KUAHMLWCwo5LElzI6C
xTr5LeakGO6rjXMMgDRW1N8Ibgz7aOH+NdBhjtjthzLVv3TSOQ4yergl1PaqJ2tEyWeJAXct/QT6
hu2hSVKOMNzV6JZPMuk5m2rI4zekc9Y2VQuKw00cgptag7xQn30QwgZBkWb63EJdtSgP6GsOWd9h
5OiVTi59ApAHueKyEylxmd1r3yntOwRiKtnw3SZj9lqZxkZAIqlZG6YTCVCdubhc6+BLcPRn20nY
/UuPgITHi8zyj8rw6yPIR2Nd+kF8C+erl+uhmi2fsCeP5Ku58px7r0ycJ3bF7j5rgeDlbFZnEpl4
OfzR7/BhTMMPXvno4EaJyfc3AW7vce6PrVlPH0lvJhets+FVgy/I91Zu2SdFlu9RAj9A3RbixUgK
RZxtgbPLXAeNZVawmLzW3NRQ+CFFSYlYZ3aY9u8M/rCLSIroJmQ5Wa0msjJGpMHxKJj/D6TUdrEv
NgNBRh3z49xUm5HYKU5sEfl/aqD/z/Sayy/61RD4lSUgqP/tX/7yi5eYu7/5jy2VKhgs+d3pp+9e
lsN/0C6Wr/zv/p//9H39KT90+/2v//zxVWXAnPqhy34Nfz2CdJaJ4n8lxXwZho/un/5B4t5fvvMv
FgP3D7zhtmki9vMXzwDi8D+nl0HwB/t5TAQRboJr5t5/KjLNP5g0+XbIxPNPI8F/SjLRcbquyXfi
LrG4e/5Hksy/d+dYgCMtl+mlT4VoW84y2/wrnf9AHorfSU/t4UVHzwjG9H3doBNZO1HWfRLBUdyM
JoEc6796of6BvQAl6qJB/muNMrgS12eo4nEa2qy2/u43yx4IxeQptfddGe+yjkCrDwb3tKCZstwK
bgeaByC7o3wr25zZ5uTClFyHAVR+JCSj6e/NsrXsdU/C5nvM6Tkw4OMedi2dDAvGR6zNvo3TdVEB
+jiMmLUI35GWMbBJHZjgtE2oP1EGrZyB7JW9jY7lvaJN/dCNHV0qE87glhGlegSQjhehIH6UzJmy
yFZhG7c5xDJbvtUugGhUtTSEVXXjwtzbj8lOs7ZETVN/AlxYpwMWr7kBmdbHzS9VsnrDypwT+1cE
r9Hsiz2ZnDjeqhZEdOq5PsK5xI9fDFVmOepAozlq8CPrOtbfQYNnkTnADseEfRzIl0L5kD6EqQx2
amKLU8MvWBtWfcmyiua9nRADjvazomJmxGaj+hREZ+QoX0qi6aZV5Lj3dQulaaKfsx0z2aAN5Rs7
4e1AgiHoGMx65bfoQ7rJ/mAthQMlcm9Mr9/0QJ9WEKv2JA3uGFOrlYip4IWDFx7O17qH6sgXNePa
hsZxP3ZS3JqSsMY57haXQi8RLmFAaDAbAG1A0Mv9wFE9ZsEW3ZOzgYcw7AcvwWhg9tbOzRzv6Jq0
K4ayxRb+oEQ40Gd7B7kYfKiJqaJHTFkR53IHegZMQ1Uwc0eJtCG2O9sT6MomkbqMmsRKymNdG+5X
a6nkIF3ui8DwjfOM/o9kDZE96bnsi02N4XyTIN3IV9ihyZnB/ezktCFplWxc/F3EhofUrdvRcfsP
BlJFgzyQG2+NszZ4T6Qb3tGKWJ+1squvIdB5QDvZeg6aIlS4SVPcmpOBNGEEiHHO7UjADGbbbbrG
CeNceyIAsnmtUIbxWucdTk2TsL9523kjzMQ+QinGJrbxffbEfvNQwTpZCCneMrxuCprWyvbYuxeg
vSbLwQzXV9Z+Ag5T7QsjDZ8rz+gE0GRSr4Vfz/YWB/xgghzzwzuzc+j1af7Uo43FfecmqU5OSdIy
phCmCN77IcR4GTM7PIvAadK1YHb6pEH8HxeeW01aTVLdzjxQx8Ia45YxYJhwOZbuj6brGAtDLEQY
4oXLlgBNzUhJ7rcYOKtGXSKma+kqjAIGKf5kL4AGtxu3oTcm4qTHwfpuBEJpaHXWpXCAnO6HynKJ
Y4eUsMOUqwG/kg9kUthoz3gK/WHc0f/NN0WPCpjSxGbFByyfDBWHvJQf0mYMDq4Qr15rWruW/5G4
kmTBk5wZ9vLvq/pdORv3sau//KT47Kv01qJkak3D3UlNM10puzyoNHLufRfBuXBpRIeCHbH2i9to
yIoVlnx6XBO9RjUbwyFvxbkmO+GBwMCvtKDa6JoOf/pA5ryJA+quBrm9sxP+okBX7S4h9fIhjY1h
Pxl9eCPnyd6STNd8zn6ndpoq5mzqHDl1pePxNu6L6XdVEXy/ogTPbqIU1Dcf4JDp+lxrBftGe9Yn
FLrsRCRJeRMFwf0UVFONkMgaCCTD4Op/i0YvepMAwtI6BO7Lc2m8DSj+QOz1YGws7wVzKRlptZKP
kYPYapVmcbhUHuo0y/m7JSUAnUjjukuRHm8Qhwd3yiGy0y1mh5E1nMmxSjJmOmn1YJiIb5AGSBaw
MIOe0FUXzg9lzN0AZaAYjkUi1K/BqOS5H2VfbFNGTauJuuE+7CB366Gxobw4E+h7Lyal0FDJZ6jy
fmPUXnhwwiVpDcLyGrMsr8Zk2y9hSbIHVRZLjInsIj3xAU7G4oy7iOyBJD7I0q7W0LBOlL2IMWw/
BTXi/eZ2ys70kO2+7ESSr3w+Kf0RF9G0JhG5SLaAoGgmsj6x6o2hRfeVGUyXVmBJzNvAB+hCG5MP
RPZ1gD0AYyjGFal6ynRSvKKUK7Zl4ITfZmrJvc4cbPYRD8zeEwoNZtv6hJcppcKzGIrqEvA+rdVk
wV4l6OELGZT70E8i/tQsy91n4hg4Zoe5TonSG9gBLWDxLt+As2I9Sf4rUXRtN98lGZiKXJqfbYpy
zlu8rKVtkRSVAbbr6jeDgXG1CDth/Rbkk6LqUL5jgcqUPTa8NgwZ44ps+DEWNsje2Mrdc9AH7LS0
3wGGUKN40GH9GDtQI5AgdJu+rYyHEubveTKoXYs+XmehuzOp01m+LOsEkTBlS46IpsjeAx1DJAU3
k9cp0C8ZNMwgvYuU+SWC6ZfmfD+OfUCpYNr6mM0R7Cyq/YNhwLzJEhoY2y7RYZbTdpadtw9Vggw0
sYkuSBEPko6CLtdLLokTJVsxjHwA4pHjmXkGyRUueUSVMadP1dTqRSC2w5C2zSrf2g1a2rcptnj8
K6hFCcnLvqYEVlcs1XAHHBN+iGHZq2aaEJP0tJpJj8y2DXS74R0at9SCMPusGlfgNL/EJdQGfPyL
q4IXtiTP9w49EOCGvn0ZvRSfd1N3hyFCUEypwSDC74Z9gy1ozwkUootv2e4Wnb818UAQ3+D6Bz93
MOTn4LUMzeNb2e49KT1bcyxpwe1OAUXGIAKlcgqSPRm4JMo5ncMDn7kQrOXUY3Bb3lQwud6OwXH/
4GdttM2toWduXMfjO5vy8ikYZvPGjMriNzx8n7aK3ApLReNrjn7r36k7sx25kWzL/sr9AV6QxsHI
lwba6fQp5kGhkF6ICIWc82wcv74XPRuFVGRCwn1poF8KWVklOZ1Omh07Z++1wbtN1bAbbb1ibsop
cBtJPTzr8dIfHHvFQqtcIJxM9XCvDVC96XIb8X2k4Qj1s2jQTw6JuftJpOYbtKjmetDFdIfoJaNH
V5ceucG9cE6RV4D1GDCjnCKw24jzDftKdwfjmYZa+DPvQiiKNXmKe2BCScbCZITHVOn2iVimUveX
KfWCyNSSE68KzFs9wk65x++S7QtdGC+Y7zy6yBaeimKePD8WOenEWakPnCA9WfEjlMU9YiHtGXFD
ekjilaM8pcu+1Ofh1UKbe9WTXQB5gfIBq0mJOL8DqHFSug6THKLN8pyl8/yzT52C19TNsseW6fOj
h6Wj8bOECGJK294fKe13aZh1Ly5Wz9swLksorIa+n2meIyOcJTJqngOCTazG2haFnqPj1qbnYSys
w1Ci6COCSFFNOpiwsFHe0KwzrmDKyFeNRrXfMDp9Na3wiJfI3jgqum1dQryEG2lEZ5AC7fCcWUgb
IW92PiuesUHgkEDcMBfUn227r4CFmyidgUdIeK5QSbs1HyLn3ACh0w6L29CT8d7DRrMRZJn5opjV
o0N+1lHWXEHplsYXGkWogqpWmc90rhxyPjR8yvdsEexvYDqGmQXMcMg3BYqS55hsPFwKO8cslx26
s+a2R9zjy9x7SzEEESFCDGGCmWwvcB/vGmwGHxQtmBmQyYPUA9QApHaay32B4O9YN0P3jZd2edQA
zSEDnUqQBnyIq+kiSKWbBVB8IyaNZnRfTa24HTt9mN4qU0wIs6ekyZ802Bxyq+oFI0vTc8Aj4jpK
RzR87RT6lhhoXche4Slz3EHb2xArHgtrjJ6n2kjOC9yLvTc7TBWW0Yr2fat3D/UsjG995VnP/TQC
vZlbgUSM0OoF7FxSPkWFFn9Mo5OeNMcy3xpLEAVD0krCz1E706NOgfqzNavlFI0V7TPy+ZrHuTVY
K5ZGsEBTeLOq2aqJUEqTX7NpO7On9Vvob1korS+2ozvts1tYjroNK8LTgyUdRRmsntcgKmh3D+ac
Gr5rR6T5eUVEqljSG3NyrA0eQuD5GqaL3u7aQBWzA9gn4+215tQ1thX74RWJtx50frOpmTXIGLG1
xriz0WqJxLqWKKKroY6OTdWb3/JlhGVuePVL7Yn+ja53gUmwbh5bm6xAjVnVlHfbunPdKzVHJgzB
bqL55ehv0LnG71HppUcHTdlLugzaq1FXths43mx9w2Y2nQY14lD30JiKxXQeIstF6m9EU3iw0jwg
ZSk7UlHH15OwxkMDpvXQcwvfiPUawI9pzr0V1+2u0EBe0Bm6S0gvPikHJEo/9OljaWnWjYcqnrwX
T2GYwQc3byZ81Rijcvr8VUs+r4UV+iYi3K+P4g+mo9NDX+sh47+mLVityRrb0EL0zijspR+DSNxZ
Al70gNP5pXW9/uuY8ubkWqm+pnkUbcntM28wO1enBPsacavWObJi3RdYRR6hqtOELoaG6iqpfxKP
TUBXNIpDiTbjeRk8dVoiXQ8wQIxk55oEDuMfuO1CO72vltYM5paclaAwanU9hda4bVFHHJ2oiAnv
7ZytWZOUi61rrO9hvuTvzSysBxhRajcvjIU6t2rvAGJnx0o2X3t9SqqVCIDhj8i9PgDb7votYuRd
1qvlLXbyeWNMvU4EnUkNhKeRPLhK3AwDXQyY1d5rIpvwe5iw5jPH6Y5sq8PjHDE+S6jFbktFTvPS
heqmB37wpKjyCNrMsdeQx6CdTMvCnAa66cvQsd7Luuq/JwmJPCFA+reZcGAbhw9HaqMc5I0rOaxt
hpm3K2FX2eIqQsTpsae4IzJfrET6xgyzHern9KZEIP2SY1k/QTpMXzTCggCwOQUnQbA57ioOJjzQ
uJeeLk7havMDcZk/T3MtSEQsyrM1TnitGD0Jpv+puoV/Lno4jqH54UYZJyxAp+2VHnVoJhdm3QeN
B82ACj1A0lIqQ7tEYCN5zppVf1VT3XicuybjKSP/+Fm24DxTKE3TRl7moJPXlK8dHqG3UenMSD26
6ukVgWj45lj9XpbLFBU4IBNVJHFWu0szJBKRGjlfIYsz3wenBKspioVQVlm9MVqpt/CH5NfKoUmD
Pra6jqjUGDGydnBBZC1mJXqBZJDWIxRvIzCclmGyPXTM+LrhZskG9dYX/XBlrAPjTrghqR5Jfph7
k3HyOljuyFbaVFFSv7ZST3ZRVmiPdp7Zflro4caQvmKJr3w0XeUHQAlnumWaFNsHou2Yd9OgnQmG
jowXYJEMtsmYTM6DDp2UyeccYDydnE24jJAEqnKev2acIbcRo4wDfDdm+3z5iJrgMjwXcWcVO6qA
9nrWh/ib8BLjWaYlD1BiLFyD1lWPc+V2E42gqHyxiubcXUbzjZzLt4Xxy7miBsU1pbEMhdoCWK2B
yD9o2t5hxJ9FNLaMiiAyOSPwIPFDsTUTb67wL64aAYqxFxaZ6oQy+0kPR7GPQHNeRaumAHoANgDQ
oFvNQe3c1yFVuvuoks66C82wuNYjS2gb8yJWmMLsaKuyvMJ+4xxxV/I4IFiyT0vR9ijOY3Pdpopd
VsHy9mS+YavqeNMIxiR73b1Jojkmes4jaW4N0Ix5fN7rS6pmhoCXP0/UphPr9s3ACWrn5KZ6TGd5
P5NysWdvHh+zUCO7TxkIenvNHve55jGYoyl1Z5PtufaEvhERjRSvqEfD3AKmT++o7FbgFusVVGMX
aN/Y2THKqdiKiJ/n4Mn4arHovy1qa4IlfcGClDsbb2ydB0qDnITIOAsJrUywgY2yOyiIRn6KKmFr
omEEdTzzXubAh1WOe3SnFrWm6vVVe2W19BJ9qxdwSSJyU7u2Jqp8TVVFlJB1eDU0FnBrsB/MpG9u
oJag9sJceh9DHLrR6zWoNfQqedUjRiXXGOuMQBF5hVCtvkqInn50jLzelSPgt60gKvt17gZ1R3Ot
IyfXJPcAJBGDrWbQ5hEaZk0+vTX/8BZ8ZShqQLFHQv8gECU7DuESPgHWDzeO7JkGN/UiNui5s12U
9tGutfXlzuvovsVCrunbaeHeTGvy7aJN6LUJiON/0szy4GBOfJuGNU/crtMvSL1ZBacKbZUwHdRg
NK8gp2pE73ImEC8O0dDVVtcHai4Se02Se3tFhG+EF5jjHnPkVmhfXDUQi7lG/uJ6j/g1YRcH6ZRP
DzIUud/MrnZUOYHB2hodTD5v811f44S1NVi4K9KExbg7cFzfw4ts7ga9UjuieOgqLhMbKf/VRv3O
vJa41HFn5myn2/ISZDyvmcaWGfOOk/zBpNmdw32fNa3BxoPR0Mi97gVpi/ECrSfa5v2cxmBKW/IL
BydNApkjENhYY1I/AyEu9F1id9O8XS7hyxr+neqKsF1BS7auBM8tzQ/UOFmkfQVT2Z1cIuHoPVNE
E6Idp8Mj6EESnyvpJE+xXFAC555Gs3eBxDBu0ybpz6kslv3SkyOdicV5dC/h0uQmaKCJU4fhu33J
pU6b2MPHQoggoiDPNR+BtFIij16CAZJ0pPprb5np+3AJvfbcUbeO0zpiIqjPsp4TaylfGxMqmpaW
zd1EYhr0BbvpHpjZoY4QYBPuyejUHs1hZVtm6pttgHQLXdhC2Py971plxnDdJty+pjRPnSuKl7QD
bctMa2p2iLpEgEU6p5GijtyFJeiQXmO5Yma4WbPkn5QaiMwjLOCZ9qV9chsh7wl6osWQjlgzIybw
HcZNIsPpGjg2pBiBKENvGR1o06RZWw21NUxnYtH9Nqqm18R12CBooc43qrBk0McPSS37fhuVjvec
qbAkxAfBQ+a02VYg0rqBFTlPB4AGNbmi5MC9uzEOPUxkU98BAmNWv6HrbD9ABzOJAhrn3NviBUWD
AV9HwDOq3DLbmibB4Gwj4j63PPVACDnC3FqND5rTlzMOiHyfoHLcq642v5hZNt2BWCN0wgUuvKsw
fOLgtdM7Bmgz5/KRZExVZ/G3ZHLyK+CZw32riayhBWnE1lXjTkxdDGOlCcbArXBCU2X5SmrD64z+
gvY/xfUutqcUPUUy3U1ei+FJWplXEpXseA8VjGjNj2qx5jpCtPYTyzCeopBGL2GoevGUJhLajRZy
gPacxWY77Wzf8WIOUlNh2rdtZXSPAHH1RzGa5d2s2WXK4Ddpvi0o/m6dJW04yzeuc6MDtKWNU3Zp
eUhUY3whgUZcEQUDPaloEqjtXU//E2VlIU/prIU/kqxY3mqYflYwxhRsm0FvVlEPoRNbZzY5xi3t
kH/laRsGv8wTdgK6ntNdByzxx6ipdYHjJbIN/k9SmuJoGmq5wTsrT3Ec4rZriu6KtZ0NqPP0jw4i
fbz1Kna+sUZG5mhJ/UDakzxNSLOvrVERVWLG/bnrrWTv8Ng2G5iPDRJUNU0/nRTOZ5v3W84Qeeor
R5UHHHvyZLNubwdZ5U8Wco2TJlC6Ltncf5Tpim9dUBXs65zwoNSSU7md4Jm+GTUi2gBeWPXIEYnu
d112XzLQ2Q8u1dmPpZZEL4mW/2hZh7poaF5RhxJmT7oi445EdtpJ4fQJeu7hUzl2hIthSkSPDEHj
WcPHBcW8aEUSVF183xeye6yqzGZ6wNpC3k9vWaATlLovTJlf1USXPMOLJPuSRO57ZyrpJuhz0X9f
aKutG/KaNNIDKQglpxKU+2P+iJgbxnbspaJ+CsNqeWDKzS9CcYNYNnEeGG6Vx1w34scOzSMJsRPA
zQEgeGtV4H5bA+ZzDHi+GGbnxB+LMBg12vuEXMrnv77G4ZAFRlIxnScd+7aXy3I/T8VHYwAXzfrI
b+Bg+yL15htHzQUMSHPct5WsQGp5TzPipSBzcoC3Dq3Lo+p0OwUBQYhYKnTn2Rz5Xp4jeXnmVSqV
815vWnzyu4HjKxOang6HlhThUVG2fydExCF3RIfEYplT+0h4Dhs2r7JGFCl+is0wTfUpGaC2E1Af
dYgFpvaa6eqPqs1EtqlVZ9/FkZA3o1NZDxPtjO8liDlYXwjhFMddxjcxYUHkwUcHVtVwzZSCQ67T
U4ChK841nAKsxHpDbI1RdWAiaLu3q0d2nAuIHCK66jVZfjUBeVF0epQs8ZpGYIgR1QXTFjT2Rv3C
PFUdC+5vEDcQ0aa4dbc6yMbAnXW32uumbbGbRlC4E6WK7w4hYzfMDkmlc2b3PHQlICAty+kFG+43
XcZ6uyHyHRYxIhPvBByAQlamzK3MpecEI4x4vOrQL8PqafAxMM2h3Vvbb7UNiBqkstKOoQYQzKJH
kqBxzpYbJEQscp5siGRSXfxkl8x8ULaPz4mcrI9qnKd30DrqGeFx326cbFrX/7Dsrx2ycivEMtP0
vclW3i2rAqoU1jxOeAVnPBALLMZD70rmMJky2WgyFd+Mmq6/5yZOzWCsQwT27czGNZeecwyRlcEA
MOFisAdDY6kh/sy2iti5yghIcmfX1raOBJAUEtfmrzATBHOb2NsJUbPnl80ayuroVehXodDCrZLJ
ctMn4SoQHUV2kp7TnaKpK8yNnc3yBwJb0nYdnYkfOraK3UokZB1tDG/GDV+skhEabRm5QjG7GPZC
GK8bx+nN5tqbJj4Gp1x0CDv8gz5posaXfGiZo4gyw1UhSfZSoaYdabIXpEy33fovRl66Tdgn4gsz
WzNH0igKCZbctj8amBsERJnWA5sXtUvOdrkJbbb2IzliRraVYple6TfjIQR98Rytp6vCJacEkvqk
fIv5YDDC44dKm+s3rjeIj8yq1k2M/EMtJGDAt4x+CHc2KgLfozl8tRS6ccIOPN3OOhNv01ib5EVc
IbhsRQBGy+DNGjCdpuODpdEZjbuR03X32lOEn+awzJGhlhryMqPbjnMz/DRqO73pKSduMdWyfi04
sKXUSRAbagFzmn9Cs6SIMew7/VWH1A2xJM5usnYUQaX02PUbXGKJb9rqNe7r5aEdhvK6wv/JGN3Q
AsjZxTE3pP4jrwcUhrXbkjFZxXc4cNPWr5Mx2eKrWX4gkYoPINvlkcB2RH496vax6iN7d9Fx/D+T
/fxd9fO//j8yNUrPMIzf2xr/d/nxVryV//VWfvzXbfKjekcrdOzW/Nfu7yqj//xNf6mFPPO/PRtx
j2OYugm5bKW0/aUW8sR/s2OYDoICAZ8P1cx/1EKG+d/8G8yOjmWh5UFR9B+1EKhSG50NKDPIlDr/
j/8RkNT4JBfC28jDxZUBOPGIguVv+0Uu1HV4N6pkavfxyEKS2pCTmEsE6LLZB8K23lVLfkYnQz3i
Ze8UdRzsKo1W5kC2eVKhNnfLjp7jaPvhmLwM1Tz8SVn0CTG3XqKLm9+z4R5i8YTA+sslcl7FLJpF
7d4tQljxiyWCKG7IaIi966Fp3thYb52u33YRoTWZQ135B2nTv1+AZXqCWyUhH/96ASIzahetY7sP
Iy7AXEgJXSNuNmYSshuyEPRhGNJgUacezQJEBa7j95fwSVp1uQWOa+KJtUn8cz8jlzsrES2crmbf
9tF6WJDPPTCzpPkTZ/LCNf2bhuv/fhDaLt3C/CrMT18V4lqn5rlq9mVFYA2yXFQKqn6tGtSJHnxz
f3bCym+cztwM40jPNFwXw0k82KVRYp/HT2oSLP7WpfYYIC/SHznfEw3O04dqZ2rRRVbzvuUIHGi1
BcYuYw+2nZqeMSPVAJM72dy9uEfcC2Yp5EbOjfOtC7uj3nbu1kqa8BSVjFM0AAt75EjxzUyS2mjx
tBbLc0WjakdJMN1OXXY2zCULuiF/R+HgkkUc3i6u93OIi0dzkV9//wutnMNfbxyvBBpWnQEXXmR3
/QX/JruTS6nnUdKAbTDBedM2+5bCUmewzbBYiNUPQ0CIbAbvr/WaZTT6Wd3/9Ql/jwK95DP/+sGW
beKvBOEpLsvIrx9cYJKvO88lYhfxVuCqHLc7bpEDVQRAJJNxFlyfAVqMsK/IPqWTBMTGly5zNC9n
j83jaNcT2OLbknfqsmd6IVUMWu0ZoBvcXqKjLay2GnL839+zz1RTnjYEg7isoZs61Mz6J8quTmDk
MMs43+NIKbfMHe0rdk+kioP3iP6fClaqfK9CVdzWk4vq2DiOWXTq6cdswsJBJb4uQNa0q+xrRzrI
Lboe8YnGl5Yz34buInQxc/nx++v+529tEb6NRx2BJWGznvnrLVci0XRkKfl+1No1/oZFwcUG+deN
bp3aYxSoIIRZufgDB3aFNH/6sR1hCcZXjm3oBL/++sm9KMKRBKJ8Hw5dTYCFR3MX/+/299/v3z4F
FSteHBiIOA4+2d/LvC5MDajQHglQuZctrJA2jN9//yHuBZz++ctYHgnmQoJhcsWnX78qWilpd+V7
wDpn5PptvnE65N34uzt6EbzknjaytwxKBaWxZCeMQ2cjspYHxq0wnPqYfWf2fMMaqFiVrQUxs6tD
Tgd2lzGxxAfKaccs3WdUgPNOd4CaEWZ2TNBMb7MJ/MpAZ2+nQRYKqDGpECt7r0+sb7YxCZ8OhBbg
t2AEFtsG/nUuLUWLvvVC/rzVuFT6NEYJt+GfGppNhzSKYOaJxNuVVJRIKmqLYr57weaG766G8hyq
9L1Yknc7NR8wooQnVKdoDsz03Iq+OpCI5210rzxok6ejt9e9XV4l5zYKXdrsrLmNiX0ItykPnMHz
XUa0W2Cm4C7mGbSy6Euz1MtuyL3nmIcDpSdnamk+lIlHYEFM6WsK9UovxPPHdfWe56z7ShAYxDqN
89w0lcLPoHHScEytN0PH8d0KmW3zMXnvcGpugQgIH9dZ4yfC/l62IvUJbROPQ4XOjywXNuLF0WiI
pmcj5ksPEQ6/ouB6I6UeW5H95NRFdx7VYoRdh/AJFu6xr7sgYwPZ0ttXPlnWr3KV01lh6/lebLpb
G5is31tdvGMtY0hvJ+8mPv4NASIcZzt24HxWaPWs4hpw0lNqeM/NahZvekCOWUiqK8UPCtseT2xu
8tOUXfvoJHhWi7q/o8DYh7J8Z/jeEsWJDUiTeRd4E78mweA1ENPU8d18VRTk59JD8uQ0w1WjBk4c
2Rlbp7efcH1uI4sv2o2FzZDrJjR5Al2Qt1uhy9ss5OhikFjH2NuisUgvfRvWPOd4qbVgrqivyLYh
LH3Izlqk8cTyy84yoknF6SbTG/tlyACGl5FbkohYYIIMozOTFx4CJh4bPRndLdCwa7BlKb1ldup8
Kd7Nqsjves+AXDto7lOHfX1J43dSnqpDPOvtlRPKZ12RedNSnl47aU9ttf4wVAa3Heojwo/ZPC7P
7jzy2OhM4TcdSdlknifvLkhbfKbmg+nm3h5247sLFAd3U/JuKF6Ny4PbLlx3WE47DuGICArsOsJ9
JrV1xiGjgyFaX4GCJ8wwzAdE/R1TL4pPZrPLTQmHY9Mna7Wh8fdVRW0Sc8sTZBr8/J3O61IDI90I
4iKvRx2qEJrUxK9dHlqca++XC+dyqWJ6NCOpxp7meXxvYffdVyz9pOQpnfW6nnjVZFzfVJ7XBAnD
dV9i7wuWRh4NZ+KaCiZkifJgRk7DdQW/0U9RJe8mOsYbsonO5HKxYEmbP8P34NHN/vqBYWM9iLx5
rXAIgypOzyTrelh30/fLcsFg+qwmtjHkjN6mTCM+oIO7qnJ2kBq2x6ZFisWckpvIYYB6aKGeokqW
m8E2Dq4t0uu8crMtyAt3y0KVBc5Sv9qiur7sThB+K5RO3AFcA+FJOOkZg2B4L9JqV1AkER25WEHb
lfXOnsSW9fSjzFlMTMGTW1J0bRgIfcFvzpKn8fcOrLWZU3FDsB+2Mn9X1FfrcsZomiUvd24vi1Jv
s7zgC3lNJ64t6Z1bUTnLocntB8478CUMXhXHTd9nLUl912xJhRr4cS+nCYYehA0lJvFxbDtOJW8v
3xBz6nl9JZrEfli3AumIB1VzYZffAJbXbVKArwN5QgjSeO1GKcTJcn1s0IQhabYLvLvtq55axrXd
puesjnLknDwqLVKwv1Y612IxsWP3uZptVlRn0ZDCeeNd586Kdjfvb8qbGYzawp9yLe0AeTQ8qfXX
oRkOPXeprpcIvZ/NnGMzkYBzuqzEybQWYk6E6pAAHN5gWhPz4sKKB52w4U84XIk77bqJ/9Xt+AH6
pK93SYUDG6hMclsBrN26q23I69Z+h84du+wrZsZFdWvxnDn2g9GGwRxnMwYE+pLAqwd/fcKmhcU4
rinTWWl2ePbLzVjx0LUeC09e81gR5kW2FQ2NvelRUKy/LoiR1wRi20bGrPqcgsp9E/EXNuQk7y7r
b76ujiH4sX2JVmSjeRUhl4QcBeseh4uYjgnSRAQCvEByya7xEEB4woHvp3hBtpdyGBl+HvTw1260
MJ+/gNYibwFq7IZMLhPcSvZ+eVZwBb6nbnwuFzLF9RRhmN02iAG51etuQ5IeG6PiFSCQNbuZEO1v
HbKywLMhnrdUiwSHnj8elLLZyWHNzXLo6lwaTLax1uc2irumIZmprtjwZtXcsko2TGBjdbRGmj+d
XTibyYwROBmLh0IFHgK9spCJHNzDqhsZv4axrR+g+0TvcMLoMZqGlewGAx+FchNcppKeHiG2ZwQH
ryEd1d3EyeqH5mXLE4L1+gqnMUzeWj0xcIv2nHMSRBSG8apbkOaWYia0STKTjnsjZKK06AeUjThf
OSYNVbSWBvVAa9GO5b3RFyuUZIYmPNIEzMDMHN31AJfF1MnN0t6aTIrAb03GSfei917Lp20qcUEP
WWhCTFyIcidH4Qptgo6qksV+PeYRaZVtYyPhP1za+jYBDGSwF80tKb+06so0oSuVM5hGTeZ3K62a
wCWLGoUkAqwb7Lwr5noQKwmVgk1hhNsYTZkf9LBWgZDWUXnNKxF+cuPRLtsMpjOiK2dYjH2k29cG
qvMktUI+HqIPXqdwTZfg715Wob9h9Lu2t0854JAoj8afONSJHG7ccDvi9PA5QP2o5Rik0fyjx4uO
sCFm0SKOz0eHm4HJUzgVBROlNCsTwiuAh4c0HUGEigRLfWIetDROfbMb9WCIgIbqzr2GmlFrWQA6
vd9F+OECcOI/EJrcaGN7lVSsv9YwfjH08UT0k8sQpqhZyrWftcMrLWnlBmIyGDr02putWHXTxjCP
arEeIjB25Ifp4HZNbCv0Rcnk7TscnoZ2aNB/INsveGvXk8+S1cAOFpalpE/OBkqqXRxTPxlYObZV
Gc9fTGU16y+8AJZlB0LdEZ7HVKt8Ybj5C1ZZ68pa9NdBsFRoRveKBYiSiin4j4hxMMtb2QdMeeBD
VxTBMdzaHVjN9qhzhss2qYal/bKOW1p2TSrTGfV87euGrQJtqLx9XwN5upzobY/iTpq8pm5NIUOX
/sEk5A2/cwIwvuC5rdZHlAPz3hrHd4+2+z6D7x27PDEhaNCNVg4smmwF63UOrv5g0H3Yd47BsZDd
euNRZvdG/J7Z1aue9dTItv7Qof+FmyB5QuNuOhkGjeFElz1a8+geWPV1PRvfOUA2O32w26tOF+2X
Xsu+pexpEfkmjZi909iyqBFNkN2kDL4DNJ0uSDBFdb0up4uCdJD17HiDq2oE0e6zmRCnNxfXFBjT
/SKnlirQvKlb6hrN8K7xYDucG5G3qnXeQnP9yRMjjqZ42SnACSgrW+fWGtP4Xgd+9S3RufclZXJg
ZPKYWzxhZPdpBwgRFQUW9xRmEPfZku5LZZYYWLVkfC4aDV1Ly+NG033AVjQDgcGLh2ifcFHCWoOs
iadbDRlmv3G8dZFeM2mGoab27piNpiM1pliGel8m6aap2uqQR8Y+1PvuCLXvXGrxOWK3b1v2IeBL
t5HJdV52dDVxCFvLnWZ9ViMek9vQsjnlURNwuEZoa84aHEg+wFr3zHKu8mKznlrgDqFPA1SCorR9
reBe+8PYj3cRZAi8Pjo/dqnKvQK3dZrpTG48PZ/uMuizjw1UJZ9pQKBB1PcnyVQl50QfXHa5VlXl
dTKYlFEW/fzI9YzrqOZjcsEzPKHS/s50M/5oE0SBdC3Is4Xr5Xt021Ek8TR5cxi+5WPH39IW55UQ
816EtPVzdr3L0895EwwvqeMcVs80IfhW+arSYDrsiQfGPxz1QnautIZ/S6PKthYot5E33ACupbGZ
rXtgxPPZV4S2dNRQLApR/dB6YHgt5dUMOrXUFzoq84RljGZkFhQShmtmq5PWwyoZ6voKjcESWA0f
P+fk/6YWBVaiiTugCbgxLfJ4tHg0oBzTleJpZ4vr+YmG0nq47L0knnY8SeHz7w/+9r+1FwjKEHho
paPrzqfIkCEd5BClc7Zn6sJB3KRhays4wjVNwVQvFsSZRsa34FdWC8DkWBQ9S039Yjdf3aZ+1t2E
oECIG7u1zOilrgWOlM/ZEN3jG1jAJ0jtIPKWcNIRB2I9DvdOoYHTdRUFsIq+XBqZlzOSNMRHoor4
7EyKnG3F9BlBNHpktY6KEAg79VRcT5pBQTesRankDKRM1pBWZoLztU3thbvpr0NYb5juY+9+4Bdv
r8quAYUJ4pYnKqlwk5tEKkVuiG3OmP7nLXImAiaDAkkrECPxp45UisahQP5C+GXHmdKVY3jqejoS
jqDoKjL7JVlbqXw/9v+e182AfvyHFvW/NMVcj2EGk0FmqvRzf21NEQXW2InI+n0qOwu55hIfgH6x
CzkN8j2NYVbsQK3GAWv+oV1liH92xTi+e6u1es22+RzWxZtNwFTm9XuXYdvGZlHfpvhyHpORuGUg
VORD62kYhPpSbapVyDwUw5NXiz1aEeP190/32oH73NRydGlg4pKSx/tTH7gXPbq1asz2hNZowdow
gLxFCd1NCoMnkvWI1fX3H7ne2U8fSX8ULgTjCd2g8P5050sy0Yia6fddaLpBjlAuaCL+ycjBoXY4
qoZYG7eQmWEuRENx+P2n/8vbzJyAC0A/dhll/frpBTcVBDf2xcalGMto6Pi4jLs/POH/clvpMgsU
bive8x9jKnZTzJ3UEvvFSCy/R365bdPpuzZ3t52Xf5tVnvzhE41/+2ImtDKX/jZSTLk+dX/r6Ddl
G1GWFGofJWl3xXTf2yXKao8sCbRyRvcZNjVx4TrdM/T478WUz3u8evUGLiFs8yH5WPKX399rop7+
8UszR4Rnx8NOE/jTw4VVu008veYdy9LvVW3PP/8qfrOUGi+fmtvff9w6Zfz0eTYiJGnR9Sd2moP5
r7egF/inQ+IO9giHblshvC1CtzKoQivxdarmjTE4b1aefqnJfSF99UubOBo49PEGf9qHcke8Sjaq
hd9f1jqV/cdlQTmwedR5tbFT/HpZ2D3rOQLlty9QBWD/oXh2ABDuer1kyxTi2FfNdUyT7CvAonrX
VfxEWkyiQqJVr0Y70ZiijtvktYANg7abIsO8HUku2Kg0/eF0B1vp03axKEGUPJqd+QBF/Iw9A+1m
1KfE/0VBjBvAl8TMAetjtrROHTMUuhiB0XhZhcIca65nax2zMt7NwofKRO7t2spax3aXjY0wiPb4
+3vzObiQkco6SQYpYIKmAFDx6d54xjApDob1HoPxtJntJvKlAu2djwV9MdkQLBxDSpgQP27UMOiX
r0lr1bfyBlWtK2nV4qPDe99mp1rvtcDWmRINa928EKu764pouVlDMjaA4TA8Fn9cz4z1Gn9d0CSR
MgL3kk3GLHEKv/6+9DJY51uKTYpSJMGeq23pqSGJkSDLhE0CklNcu57dBkYqUafnya4d8dT8/lb+
8+GXEIV5vIBo6DpBkL9eRZGCEMPoQzzU3J7EyI0RPAlJOTh/+CDxz5WG0aGB7Z0JrxTy80rDFCRs
RJ4BEAMrm6bUPcacLbuGiOpzvnR0OCRdqWTtLiNdqjZlBpFPAK32wwJAzljH74IjfALx51oWnPcy
joDc3yyo1jNjyeGd/vZ1azKbN6FcHrSQs8vv79a//WgM8BiA2lK37X9MjktOrgJ8Wr2P8YainLUA
qpZT7RcIWjdTMTWBOfYf63lpzmg/9U18ngv3DyvWPxdIiSyCeSK+Wuuf2wSO907WhlHvdav6aXoz
wBCBXqrPW+JU5j99mvinMAAhmIFHx0VAof8f8s5kuW2szbbvUnPkBQ76QU1IgI1I9bIsa4KQ0zZ6
4KA9AJ6+Fpj5/2HLWXbUpOLeuIMcZNgWKRI4+Jq913a990/e2uihGgnJ/hJESC7rOVjXkgui/K1v
xDYDXArqVQu5AQwT35ZL/VITm3PtrKokS8cZQa7TdWE1y2Gk8d7kKHA3FnHigRbhgclMdfvrr+nn
5yjv2F4XxcQ3rzKSHy/q1p7cEm613Lsa9Iy6Q8KIBzEPB53+iVE2RmW9+M3S8h8Kfl6NK0LHKsyx
/f5OKigdVN3Ak48yBptNbVo04pM4Z7U1kRDVM08lGYKOdjh2jKdOvsmgcp0ZMm+HTy0I8kmx5MPX
oyHp8xGHpk0gOaMVY9dQzUo8vVSXtN2rzAoQN9P0dSZSGTROgvXzrnfX0yy1mdeu6xcL+/B9Tke1
LVGoHxDjWvs474DTROaHAkcoQVgs9bCeov9j6bBL8LhurUj5e3vdULp0cZfo1stuoy4sMkAK/8+1
E3bSnpebdDYU0auJBn0rJeLQZeEy/PVX+Y/HhmNaCHjYCet/8Xi+K1DAZaHpszg24rlP7nKCyUOD
9mUnbKvHXyhrnoE0uTBiPjM2Z5pt80VXCumZGkQRVk6rrtyZGdHlrIfUw2p0TsnKsTppB30vPl1W
m5Yksc9nW3tVsu6+wTHxu33zetH9eN57nK8UryhOyICw3533bWyxgm3dbl+5PIxxvUJSd9dbwkrG
U9z6UJ+9pfxkeZEbmO6Y/+aZaf18/mJxd20TzQtaI0ARP94UvjflvpoqVKxElgW1aKc7I2fe7xVM
wkH3Ws+VtMttaib5cVjN/JBtmSpozLHxSNA35lUTDDpq7njhMuXZxUYJlixidOtVB3eXz/WL1jF8
vewfGG0Y2OBZXmdhEiXtiy3XbYDNkD1jKAkMaJ3xTes4d5HpfdsoC7+SHUjdP7fjqnZFcA+QiFOF
sJRv/MfSo9D0r1aXFXsw6PM+d1k3/uZy+7nqwu/o4ROHUsVT2Vk/xe8uN9hyeZWppN43LCkuC4LS
WlfCOM/QKXIbLn2h4GAsR8xCCMZTKgbYwCwP5BqfyIhyFWXKFjgqT+v7Yj3fGufJygAMRb38VLHR
hx/ILsIlEGX/63f/87nnCYeKgvtep0193yPhwJYdwaNkX3rW3ojYL65HRT7TFV+mUSSW/ObU+6l4
drmmqE9pysCO8WB/d1UlBpL7NqcTZLQtN4jFwTWtm/vLLqa7fL0o47GHrDOXAdHIsK4Bx77x4EcS
c9Y2wEJsxCwrO/R3h8f7B+XlzdnUtdxvq2po/fPvvkw02VlGVl6+TxN0BH3Le5gpI4Z1y1qsn8qv
P/5/eLn1FkepZBo0Ez89dnJpQ8qr872y16vWLc+zRkEFesPf0jv+riO+5Kh/f6K4nHGcKCg6EbJB
RHt3rSbtyLaxTZN9khCB5aejxVnYusFEXhCrJpiJKqciSStg2iZl6CG1VXQgLYlAI8iMH5VV+nfZ
CL7CHG47x5vCxiG70lJjEyru0YDpSnfCQlbtfTUDyuyr9FyZmY9apWS7ufQk16X88HRsnXV3fZ8y
Dj9mA8nTddZBZ8IqG2SeJw/0MBY8kzpVgQVddqubyXicIrVjItmEbdxYe7IkzCu0HBoblfwWpjeY
HeRge1dgOLLA6RMvoWWgZPP4Fsup2GF1H4Oi8oiLSvgDQoM+G6vazlDNQKKcJ3ZlQWq1CwT3OsLy
xtgQv8NAzY0bnD11UOWleYVA1UYHlvtZ4MAYAx5mkfCStaNCaYGlSWmRuTfdxjtgXUvPmoxi5ruP
2JZu4yQVgcZ0+OQ5gKJzjCWvg/LNPUhS+zc3mvm+UHeFRxFGAjENsaPTr/94LQOVan2t4CmPgsI7
XPoes0A1UnU6m21qqUyU+q1smmofSQXjmgShUMj1CyTBMPBagLQoe6jr3dbNgrRI/ixAkezIYIdS
4CuHkdJohRB2swAUDovwqq12LBEs2Mp82p65aE9zrayzv/74rO5v+0Q82S5qEzURdgXPxQyHtqwO
Iuu83wyc3j+8kP1xQ3EHU8dw0OjvLnVOTsM2m9wDd0L0aILRkU3sr+/e94fn5SVcFIa2r4N+0t99
wHRhNoOA2EMwkMmgHhm/ju1Im7H6R7ue1K5Zg1n26xd9XxTwopydFsUN/QTHxrsTitxPJ3OS1t01
oAJCll+o4Re9Ye2Wg54wWelpJo7/utXhbPTkf/765Y33tb270hjR+VHAM09l4vLjVTU3cNeysnZx
KUqNvXzW8W2by4ViQylo+0fp996e0+6JsUO+B+Y7fvj1e7go4H44xtb3wIhc0Msg+l0F4t+f0tw2
rStazdllTq4F49x0h9LCF73ka5BnO6Y+3AS9ewOzHYE+d62bekJ1WvXCI/bRxUQ+uu22U1a2IzbU
e9E7IHtV01HdJXJXknb8oOa5O9pQaI6yT9xz01gOqFTVPIsYVcIGRxf4Q7+/M90Y1tuoFb8pvi5U
yB9+RwpYku0dk+gehm3vxZSwUwG58AjdDdxVZ2W2006XsUHQRz1eXX4JH1j8nQ5n5dwl/AGLx2jr
L/oSFAbakYUSLDCZRWzNJIoPPiSNgPBdjfta747TggMKLcZBIw51OxC+FqSxeZ+L0gxlu8LMIAkc
isYBXGQvHl57d2Sr3YVEj4EEBOWIgalfUPjU64690nalFEvQRkRq4E/e5W3T3Uz8y510RiQWSfyA
1VHbOgCm8LRLyAmZySE0XNlq4M1aMHLiJhmvRer2Lxpggl9fMuZPT1o+TobwaCpdRsHm+15L+n5E
JBcCDYBkzE4GrcVWNZ5hfDyWIIO35mAZu6U34Mc5YDcEE69tZksPLjOJFVrK9Cpnv7wtfG6zrBoJ
Cslj/a0Bcsh62V9O/BSg7yPAfey11YFB0gBgIHH2GLn+XDJJzlgWEY4GJ5qFSmftGgGfEkthu4U+
8Ix/ddiNk0bcqWqDHLDEb84N66fTyjLoublj8V1xAxvvuokMapzDOMXeGSMPb9jy5quYFEsw3jgR
NINH7EXtQaFUk7YztVJDiNMkJwNSwmG28C9nCWEJZVGXH9J4lXek3Hb50tlA/+yMvHcluTCdWAta
xHGB3nKNAKjLtgZR5NuBfCogKcN+mhMDLYH1qEbzhVAJQD6++xgl6Rd6nWEj2U8RPKK5hxjRxnVc
pd5dTz0ZJgWWdX8saMerRAalmvq9w2xgb7Hy27GY5EIfecnJL8zfzHD+6dphc2Ex9Obc+akohGiU
sKPk2hkL+xtuA+9uvVfaATKqMuLxN2Nc96cnF7Qo20ShxiRX+O57MXM5MKvSh54TFjlVkLGHfkFY
lpzkUhlbfSETy9Sj7CZx+uQkvJYDr6X8MhQf+jQ2VPCQ/LdsEz+OfnRWsXMdLTYxn6h8iD6Y46wO
Gvh0/A0kr/xdYoucJYCLFW3bjMeHUNzNlO3f4BYs96JGzGc0ZCsbdQ1GwOQekDSF56zTnRD8RLxL
kMR/UNBeH1j4R4EhkvFepiA7LYFOI7cMRlwglsJYo7VBzOUf2cje9/hjDj7Bqmwr/YGw9Mo9t7gr
rpXOsdzJPN9169thY1qshfj4wZ65trqR5xqEcw+PpnCJGmp67sJeI82SwCEw4hWc9cgF3D8arLMT
8mLhlpCL042xtmv4IDeJazhhwiyICpQbYvnNjfYPVwsXCbOYVY++PiV/fDh1YAbyktCcndciysls
Pr9W2jycamAPrs0N8euj7efXY6uIIp0Si0bdft+lOzm+ZG2p7V1RlhQgkrth9ewf0RyRM76Q3fnr
1zN+Lixp22x+N8DGYDLxU/74G3rI2xoRx5BAUX2E6YwyFPyxc05LFlHVoienybfSMO5IMa2H9tB2
HBdO3pghhHKDnLeKVYByo+1E50zEGg8qfeSr1murRZRg9HvZ8KukTt0+lB3HtV2tD3cIlzx50uLO
ruq3eT1G4sqGkLSaQGGBvKFfBPPgoArNiEIIYmaTT7XHw46c1etiTPIdW4ZvDT70gJC5b7lbvImE
967p/bSDdbGcmGuJ0BhAafl1+9SRRLk1NE7+y6NV5pRarRcnLyjKzBDo3nJvIPJFI8Ld5OOp3idc
gqc6KfQT+MSVULg+TUtc3bGkLskJq9tC7lk2+nqvzoLzoy2H+XNFFmeYj1znS8Mlnrdtd0AVz7Mn
59jtctnAOM61HZ+bGRYtb0jCEgIYybPe1xK2AHMz/f2nBdc79A9t17oa3XyNMiQYhGq2ePJnmGn8
hCwRMPvT3OVm4bhIDUU90E8LH+LUHZNe966NhgX+UPC/fh97gH24Q0mG4nuKqSCqyO8h9SP+RvPd
79u4a29SAxURueY1zwV+TY0UhZtRWxYSwoyOPKXa2eNR8o+iTPnsCtvbF4vzwcGfW6LXhSdiiSN3
50iqeI55WnHXxPbs7eH6UbKklNGX292HO4obAqqrpvEUkOQxbJOSzz+B60fTztdxudr/13yf/xfi
3g3HsBjsre3K//keKv83LP7mrQQW/2FFvr/lhFVSaf1FkT9++c//+O7f/g19N4iYFJ7HT6RYRbbG
YfBv6LvNFgA5i+FiZrL/beI0jT8sLItMt1mgmlg5eSNdPfTJf/6H8P7gD9aS3mXqSNDk/yiw0nHf
bcyQXJiXwSUeFiCV1vvFcBLNsrVNB+gTDs5iD9tILVvdJq0EL5f91s2RuDdmvd6QLqjjXV+qaavn
syPQ8Xb9TtmuOvssLLf5qKNizYYGw/qHASlMBWttC7HYDhByFEfMgOPnJB3AtWSp6WyyHoEZ1Tiz
jw1kT9AHLHVWpnuqP0SFYe6qvlluhSk7cKcWdORq4F04gwem1xmmUM/VQatk+zVuRzKRoJFFhH/D
pS18w7vR+yE9x+yVwhk0EywXxHmlMJPQ6ss07PrMO2U4ATCJLIDgjUzbJ5npf8lgtxJX3sz6jiGc
ta/nQX90lzS9zaXTMDYRblCaEweD1avlSjMYVuiAj3ZicXHAmAVEISAI7VtBt8+oKC4IzfEaEPYx
Uke1TaxRbAx78O5VkcWB08j6DieL/KxTNN1YuX62Fvgsvn691MjlSNM5LHNB0eyeFnu+TzQ6Adsa
7twK0TPfHGMp8j7MFpy5E7dH5WVTv4MuWBTMU0p5Lb1J9YQaR85Tz0wPQTvZf3qAtpiyJTu1+cSu
Al5jEFVQHTde7cF2KWefEGZQZuBpBlG/aaY2X89tG7362WQfs8WTd0tnDPV2EZrzVFhZc9Vmc3eY
HE0HWQynay3i42D2AIZshG/kR6ec3MPYNS7qv2H8MLK/NTYytnOiKhbaH1NbfVJwmmrRaH92Zs9z
ILfZa3Gl4WGoFJM1YEQnQhmZIcUJcCpG2QRcW2X6JXUU3FquygM4VIbftY2uXK/t6nW0hXPr8ogD
L6pnn1tZf4JS7n7iWeTu3bLKH8rcGu/gcIGgYwu6IX1FP1dp456zgkyvxgCsCrHgHNVTDFx2qnZt
Y2oHX2c6C2pU3LtQmliKp7B5sVFxRduAnDZGNNx4FXb+YrJATYCxnLaGWxrneWnrecPR7z73rkhI
LPBVcoQwPz9OaTwdS9UZd8IoSHSObTm+0akowuEImjSXLtuP+dK/Kqx854jglANbM/Op0z2YcuzJ
1C15Ru1r4URNu82zBagW7ZLd3GAAIIM7Umxh0DzzzANpqIW5qegXImBIByaEE2UJVFCisR11NzpO
+WzVWgvwXeOraGAAJyEuadfaVGiqTwtEma1Jgs2Vm4ko1FLCyjgu6A1zQupvsoSHo7dYxZ3ql/48
squ/m4xxtS+49vxIgJdxZeV91xMuZdR/6r6Ib/V+xrgrjEzsRlpjxO6uvsrgXe1URlhUaCRUbfCi
QNtAblbXESjHu65VQ9hHUxWCVysCw2Mv6BL30+x7TUnISuBePNeS56T0Ekq/foo2IKIY0dkkS4Jj
KdKzyCKxc+vZORvIe0962+P6MkV/JmJWXSdlUb7aEpICW856ROA+f5BIu7G9SjN6MtpSfDbEwopS
selDLd+CD5FTkFrgGlMGDXs3Nbi3ZlXmN1FcqHtvMKb7GQF8zw2HyxcfrhtwpIaG2x+0Rm8PLmFY
Z1C4OuW/PV5BX2ruDMcv71LbtZ8b0LHP1Lv1V2Xiet4sUy0O0eJpjy7U6dsR+M0z1HQNDws10qlX
GSUMotIToyou6co0v1VY24LaUCgja90INDm1zyn8bS4K+JlkgRZLSLw14yPLN/Yiy5Md9CC1xf7Q
bRurhf+hsap+tFyQdkni9TAAPTUfCRkwz3GZLvuZGO+9x5wLpUW7BDH5NsesHfyXSlsnc50YHhpS
Xu/434gBknJfUmWU+zJuE+TLVXMjMObfUPFVrCD7cWcZonxl+eq/+oRr3A3OmO4FAmEi/ZBT5hS1
SHRbE7ed5opjm6/9XsPEYYu7IGGNVgxXckTGjoOzPVqLUd7JZgLck6d/srXztk7VXcmEXFmXp1oZ
1a/SXEjXmQf3ISakKi6n+egh3XlqsmL8yoBYBU5rTvu+VVWxcQfRGKEzL7gP9CKRyaZFgL7TZhMU
Vd+a8ixdrV+HOLiyBhxgxRqNGAGOOtg0IZB27Y1lvrToRWBiatdGPR7K1bDnpvH1pLV0CPkUQrdj
HpKVzcGXJYjc1kATPhWVDMlPgA+L/s0srnKzJzuO76SE7j1A9BHJwLiJOOJjMsCA28ZGXOGwL0lv
bdtXVquczAOj0q2nzEmybLPVY9stczBYYglFo0j/8MvxwdRajFCIa/0DYrWZ4DHPiTfwrjcqe3AX
slQK9o93esfzTA5mfoh8IT833lxeQRE1wopr/gkCGGr3SVrXCfKOYK4jGRhdNZ+AN+3RHy0HB+D5
voJf/GJM0Zech1ZRRm8J9sSDKouQT0U79DSpPYTGxq6jo29Y9XayNCB1dk5CWFbrj9Y8dh50pWy6
TVgN96goGKVv7ES3AqeajF0JeyZBc6V9m6LWuTJE3T5zfzRn15PDwUQmuCq26i9lX44HT0j3qhdy
eWsThjl6Ut1FubHy8WZytscyeuQLKPlMBXaxJm+9N8i0gAG7JrmBCZyBdJ8BDHeTsZeoHu8Ks9LP
HaksL2rUx3BMYsncS0M1v1MM+g/CQQfA4aSzo9VMcws+h+0TxINm05qshdLYU2lISLFj7Z0qTY6V
VWkPbpzHaQiyfjxU08q+hXLkkEFOMPED9UVaXRcxPUGglUWSbDgGtslR74wFpUPTZOoWlk97pfCI
30e9mX4tOXEwWlqOIr6S1WJnOukHsyyzMKPcJbfEMJ46dyx2k6gw33r4iw4lU6qdmQnmgXWqh7A5
0m3jifSgl+RkDq6SD51StxopkZVE3DO13ZHstToYJkw0Hp4thNvEvnSMDrdtp6YvKp2mb0qKL11q
t69uMb45khjBjU3M8S1QVgdu49AfFjdNwbWa6uyauMEbqWOxtUQb1BGMTbdLiLAl+GB12phXZuM9
iUWVp04oLDQ4IPB+wSJJOqiwheziwC7sapcQ9HLKqkrd9kak7aNaaY9kK/SsIg2H0U3lXDvZHH3x
zMbccY9iu0oWk69hKJ9Su3auU9NDWE4y175bxn6nZbTsDkbHRySI7dmseHRuM7FkgW1hpN0QyRhf
sd0cdx3CuyN7/OYzyeZT6LEguyOBcwh1VbsIyHlw1l1m3ww1vhetiMwwbjT4zcQh4VEB0EDmRjrZ
IfGhhNXm42rVSZWLZkBPdlnvsm4bcqUdS7+2Ti5BGSHaRutQTo7xGPV+EoJUsq8HTUQHe7byfT4r
47mHgriRojMPuTOqY1pE9Z2ritnYDM4iSM7EM/9ip21/aJDcP+imSZigSONbKyWQwHMX65kHHQE6
TuvRHaSOCC3l5VepUXqEFfcDR4usvoE89K6dzi4+jMxt9jDv9LBB/HZYcss+EkOI9Ywx8bEapUHe
ZOTzqAGYT5xwbgZQj6dzp/f3tt7tqFP1M7uMDDlG+1Gj8UYPkdyMs/apGkn7IJLV/mDir9g4DKKC
tKZpkej02dboE3xSHHct+st2M1kp2LuOPGBnKDVEhN3AJKJEtPBAUqXzpFuLHRA0FfEbTMwMIoyd
33WWd38tNX5gdbyfTf/Up72bKCEqAqWup8lhIvNxwwIrh/vsAxL0vRTdDiPLrFLah8YX05MHQvNl
9kZ5ixkoPnmzaD5FqcpCa6TA32i2iPfJAM15Mv1lp9sabDU3h0/GNvSugt1Fdg+5uaTS8g3oeF0o
JTR8bC+owjSNoqYasbVhoJGja4UsdE8e84c/Y6eOA4RL9a2WFeybWud5aDrjqPXSDqPGN17EMLin
HjH2llhDRn28923FBvnGKhhmFrbZAtprvOXYJq77SqUe722A/PBk1Vs92ndDPzxaVCgIAdkiowma
Azgu8/04VOcozRe8OTmpsCwkEpaZrR/TlSaJsyumFuqoHrf2F9E3sEg1KybScy4pCkOw1/XHRZSF
CGTqgWNtE2c8R647H5OGanfTxwxjGe2Otx0Uaw3jthFdY5UVX+1BT79IRK+BtDQ3VCxvH2pAjD6i
4Qa4NiKKEKyRc7L6QTsgooqCLltqYLfekC6Y9/Xp69gBM0uWBvKDDaC9LUGwTk2xY1upbxxpQ1Yh
evc6UrY3Bk3ZIgYZ7IXU1XrsQstY0tslr3hCJxU4cPrXu1Rv0cqZ05g+cKP7R+xj6kh2M6hJnQrb
ABH8TSY9pWCp1PREiChbJxK4e7X1mmogkcrQ6rNY6+zxUnIXl/JbrJU4T2GK8kyqLuSDFDudXp6g
SpUkt+ZayQOJ42zy1vreuFT6eoZuZVjrf6V5/dlfe4J87Q7IHE9vhmIUDKTZ2N52mSJmCSzBU7k2
GO2l13CozDiM1hbEvHQjw9qYlGuLQmIS3Uq0Ni6qTXhYOys0IVknrebQaHCekL/4l5bHu7Q/httW
8tA37kQenAPtrbX9cAZ6zBeec+H62CC3sW24b7JCeQ0XB1xCNfZ31tRm+5l804VDjH4LPPKjbC2H
ZBf5oIk0PYD2rM+mJuuHcjCsbZ1SKeMvmDSwA+ly5QKWA+O7hnqTf+5shmzAhuVRhkEkwKufxLrx
UTS2zZbRNO+QPLrPDd8BC/m1ZczX5jG/9JE50urrJO+ZFNBkWhUbOHXpPJ1LF+qvDak0zHzfrE3q
sLarg+HEZ3RXZySJRHmuTW25tre8ybXRpeVt1+a3WNtgZ22IvbU1trXY+1RZzaepy3J89DTQw9pK
M0SvXqu1vfYunfayNt3J2n77ayM+X3ryYm3Py7VRH9eWvV+b92lt4/tLR9+uzX21tvnL2vBnHNJl
xEi6Z5CJuewyGcjXIQERQu7BXgcHoh/84NcnqiUYwX+3PbYMCwaaZTirm4wt8nsFbuf7Jk1Co+3n
3rOuqjw99gL+kj1rfigEdbrwTftOt0Dkbgywx1s7Hez9KFzjU+clSbUF/Bl/mcdBXZWFNZ80z+ju
PKZ5LxQGBFTDGB5A06KP9RdJ8aQe2rJnw1RqMuc7zcxxM7tzftB7ms4V72K4AatB96rz4qoO+5l3
BVdspLKKluqtXQZw6mXvgKRd1oMM2idnWnY535bLWWddzr1kPQL99TD89Qd22X7+8IFdJoUU07CL
2BFftLrfCb/8totna2LgDOTycXkxX5o37aV5UDfdPZD96pZE0l+/4kVa9+4VWdj4rmFhWUEHt64B
v3tFxYCldPo02o+OF30u6i4lG5hI5xt4+4tg0VfLUzs3vbM14jz5bNiYW6UV5d8Ww54wQ5IrvEN4
CAkDO2FPxFNk8gwXtXT1PbsS7WPXS+cJeQyPOqeqFUN2zKQ5FMe5PUwNVhCzRP1LEt50pJLhfGKc
snFcrHpI8fYj5SfDhjLbFexVdnOnmhMgoOXVURn5OCoqjmPDGB+6ifahTFV7Hvoqv09Q3p/EGud8
GimIHxMoyG+WIjYZWs4EpntK22eLtCHOL/AgHy8f6v/X03rdoP5bl8D//bD+qU3l0L79MKj/9z/7
a04PVJFQLWddFV4cges8/m/covEH2iW0gCy3nHVUzzi+YjKzjuOtP2zbcdj1Mav3HFN8N6kXf/jC
Z+vIplqsfDfvP/61S/i74iPb9r+ltSE/+PHAYk9qogblB3Jk2Twx30l6ZJVr2mwZw8Eic5D6vRcb
TXmHcix5qPvTCzuDFQqcFFu7A+Ox1P1X4uw+IhV8Kd2CoXrDuM9u1Jd+Tl2IFyWDs8mBgq8ZGq6e
pnrMpd6dVofthjTUKljYS7Fvy+6RMaHZA5RzqFZUDZmPN8AcEHClc0IRY78QetfsnGF+qC39aymL
O2OmPiMrGUcfPCgQA9oXrugbQtcFdHateWUjHqNGHqcD0EAHeYQZ8arx+Jp2xYFd7Zkd3hosrRio
lE5M4lcEG11gPtGbGSi3mVXEtrnmqc+s5Upq0jknBHdDUXctBht6MT9Hfvykp/mbStqXHFJRgUJ2
xoCEioFwgAksLpvXLXUw3EVhDQ8Amwhxyq2zZMt3FLk97JZoroMYmle+aQzkDcx55knBujSGb8bg
36wx77ROpnu/6uu2vkzCpOny/QzxA3VqU127xE4TOddFn00WlwcHKekVpHMZoP0Q21pBZc1x51+B
AHQ+98782hLLjQ95aVb3cbcVPsN0WZnyM0WUdh1hhD36SjICYKwXkE9vEXfSDkTz1V8zowe47zfu
bUvZtSOkLqPWMFg46GCrCVexwjwBdqH8pr1qykk8eN3yRUrgMzWa1ltVDPmLWc8vlicTbP4kyJMR
A+mqYy3R5EMoaythk6rllNXFN2DROZNKBnI9AA9n5K+j456TnWKOGY6lfkUOAReAl8PokG1ySt3i
KXWcJ7fvMqILYN+W8ZQ+kXvX0X/gMFi7fpTdcfFAJe1tjXLMEaz5JjTfpCOSxfrgmrhx3VijOc2a
j1yv/tdJr/pQh0R+szDDCco+KcNRdk+RFuGznEKnnoACLB0xTvg3GLf4+64i+Q4N0qeimvRD1ncP
hi2nMO9duSEVr2M4VPfPejzCCXO8h3H2nyBA3FWmxjXL/b4dmYpsmH6b2BtG+JTT1MURnhvRtPsS
086xilIe9SA95J3lTDI0bPqmpM2LWx+SVlhbsTqWqSF3Dtfgbdx34xUPuxRFDzJMpjMcZ363X3oJ
QjgDP0IDa55Y6mcPXWZ5eyFJutLs7tlgpvRYkmBypRBaHIye+MLeckCGZGKfp2P5XDDh3PJVkUlr
z2NPwHkP5WLQok9tLccwykVDLGkXXy2zcppNREdH7qrdimCI2q+1bInkAwICf2rxb8jvme5pcf1A
TljuaUXNbd85VzwSzVvaDuw1kc322VfpvTJowmbpDbd6tqD0Ijrnz372AfUvzcZRbn3w9Iwpm1yM
+yjvYeNoNGZzMtU7uFrwP7rI3Y5OTLBdrzwM9NJLDyKxqyJkIl9BldSdwFfa8HHufOcDVGP3wKwx
+oiblN23jvLFHvVsn1pucsTsN58a104/gC1qznHdOOYmAX/zUBDCegMZZMESWmQfnUp81JOWJZoz
E8kYVwfZTXeyH8VX5g2EcSqHwKW0oxlAS4UufyItzUs0jD2d/Jzag/o6ml1560pTXZHPpg597xWo
PiUttFvkO2OJP3pWIW/A5p0wdorAdegwIYlBaNC35WzWjLAbwNnAP2nWzCwoJ/pGOSbuySrK7E4t
kTxHRp/dJrpvbGt9OA9OOu5Lq28+VvowbASWm5u+mQeiJkCnDCk213LNmhmzJfswksW4K9S8PETJ
cj/ZVRkID4RePSty2LLhnueQhhE2gg+k2/HnFn7GwSgAbU+NHrJ5YYsoqv62zj0bVfNC0E3lDUEl
0jPdGgSN2Krv7YwKukytAQiZq0EIdQUtKQoWIGQz00FYvUfUjkPQa40dXGK49DZvASb05I+WJCBE
JRyQ0TU5hVP7K8yVKmBbY2wt379ntPBnKjxcjBn0QMtnxTbpEp3JmCl0it0CcD3ieIkQaZNE+Yyn
j6fi+h5Q9zEsS0GM1b0vPnpsnrcFnU2IddW/hmwCl1CMtgUO2IzVZ41ZXrZhstI+Cel9s7vsulQD
py/8NJUYoSe82xFp6obxpakhy0/Ug1AJOkUv1za2xlycUfm1qzvZs8R0GzYCuq2/JM9A1OmyyBJ1
eCaQjaz5n3B6Yd305Zd64oJyuuJpbKjlM6KNgqrQb5ZxuS4ZgG152mUfur7FrsxgGMgg3zT5nNHO
HGOx8UqOnt6vvlRigXFRv46uiPhQCZoIC8Eez0WYAvi9Sq8gAd5h42ivPT3GgIN5LjUccztHo7et
yagOvAEiQ7swXrMyxrvdmLdPCNr6YOmwtzrw+g/mVL/pGqcQtIggYhno9PbnmeRtZdlfyqGC7twb
FRYoGxkFBdz/WiX7/ypv3FjrVkJvflXuBm9f2re/cONvMbDxw9v4tUh/qn4vP+Wv6tc1/yBhyUML
gv1lBYFQyP6tUqGOXTswXpOHG1c0hee/ql+dkhmrM+WZja5FUDH/S6ai/8GKFAG6peOxEAjJ/ifF
7zsBH7JS5CnYTkF5w+jA7vdjI5hlvZjMqIhCBaoqy6Y9UaEINAQsVmv/3ef0D5NW450ImN+d4noV
460y6FVD/+NrxfTn8BG6CExsvYM38zCzb+tyd1chIFz85lOp28TSf/SZ+bvLbVwSpp6YLwV3nkin
00TiFg+Rw2/eFZ/kD9OKy7tCMOmZtBs+44of31VEOKKPlSYKZTLTnzZHdDpQ2gh7XbOaFwcus1Zu
nRZNJag0Px6DGWnEJorBShOJIOT9r9+QuHzm3zfnvCNPmEQAmYil4NS/e0dl4koNRCTResuQsCK2
jmgNrQf2xdEtGhDIb7ZW3MpiHBigOwueW1AG/WJTbeejdSRx51VrK5tdk1GczMGLTpbF88et6LKH
lmeKeiXBuaAPGft+49TVtTNu0lxtJo/JSWVjY1/jVKCGdyRUgiVbk16begmaxGa8ZF/rjRb4MttJ
qwqygjjNfNgNSXrlaA9K1P/F3pktx42kWfpV+gEGMuzLzVwg9gguEdzJGxhFkdj3xeF4+vlASZUS
M5WVOdXWXTPWNN1kco0IhMP9/Od852qiW0cHxGbWxDBdicexZzgMSJNaxdCmxaumJtDWtzF7jbp5
kLmyQ9RdTMNnpTjYDiI8DfX7iu2abm5T727oh/uhT+HeSuLA1ejszO4O5jLsPFqAqWo2IMrmLUaM
LjxN5p7GzwtqHhfEERaYEYAwBXtGDiRE8TEF2ZlkCpsPxd4wnPXI0MVOKaQGzbeuE1euFUFJB2Yk
AnN4fcWcwDofULqxb9JRBj2c35kJduzD2qAQvbXuUcD2SW4tsA7ttMzCu9izvRjWIeC6xCqxoIpF
mLU8Pfwaj4KRWlyVjXXi9fQTxdj2nZ37kxgw6GLjSJqlVoMqvGRUf8b4z49jdwH8yFdVb1+ZvDMH
d6Um+UKJr1NRbpXmQlbOmpqn54EtvGkC9Sqf2valgDITujU1fd5li/vfk0d6NLcuqNLcddZxPi7C
ACcAkP/qOu6Cp9DJlXPJJmPpEGlTqoQ7Lg6IDu2WnU8XeMcgN8uX0KiD2K8qnrR8qJKIPEr22soi
OulTWD57Rsy+y7DmN81cBa4F0c4R5rWj9fqtneoD+k3YP4ph5oJQ/r0RwqHAys7U8C6v0gJssEFR
ZFCwmYVvCbIgsPr8mrtwv9bslmJfWrAg7Aqw0fwV9vhsNTLbFlbec/SoqXaPhio+M3rj0mpa+9RM
g3PV0Vizfn+f/s9N8kZWeDCfv+RUqMfsdeKX7sPtjct/LiH4tSZ0/lzMotAff9s3Tcj8xHlHJRpI
xB1P6BwA/6YJcVf0kAbhCr272Ge16Ptd0fqEPIMipWFKIacwB5e+3xaNT7COAJMw/WQdNwjhfNCA
/kwTAqXz820BTYiqDxKMlmdZOEvdDwopjXpFpaipt02aON/KSE0XYeztzW4ySJaGwCSscLxJmWVs
TKIZizCaxtu87ZRr0ln3TejV5wrztqswyMeDo4vhqh1MmIg5b8iJuixNcCilol1FYGDHh2EkuDMx
OZwTKd3R9wfaoHf7AyjbKwWQKyvFGH22lHTyrSEp2Elnx8RFgfKzBJO339o4Mcy6N7l1xh7OZxSg
G8pU3cUYdAGri6zOm8Qco+VswVyAuqBbiSTHJq5SB7enZ1pbr/XG66zPo4e4ql7TSSmcZdgZWN7G
OHmK9eSzgBWwjU3zIkGI99MoSw8CGtOyxbG6LEz5NqsFS7PHZDRagoO8EuRXCTxUbhEWJbG8zwU9
Q4smtsbF1CALUyMLGDiKH4YxmZ2rFVXqtCbzgNB8fWEZO6aNyV1CwQtaw1yIqTPqb7lEKA3ucobh
IvkirJZSQfo+iJvJrF1oqmgXbqs+5drIIQOs3wDfGm8QNt3wehAjuDgcB0PvZCcGKcomE1bAhNoM
1JMlsKn4qAiofWReoKNpLC/IRQKgF/3uqeGnWUQBXNx18hRglFp3uFA7cgLNwEmbuQy42ihU6ATK
aGMbsy5ZB5OOVmCCFQwOtJJjuopcxTsMZdvfd3oTgDiv7ZZmdkn6re6sWvcjykLt5WBJpAPoLgN+
hrbKTEAkpvpi18Z4VxRjQWGZ1zoc1Jya08sAp5PJmyI9Yktpavt5bYYYmSBgD74Qk0dpKnDLB4SF
5nzqOhP5pKTGD99SYNJoVgCJ6QRTmabLqJmvGpAVXjFcWqbRaieZdm658JIWTCZhkIyprKkxD/Ua
TYirpHGCaEt5aF/vucKM2YgVhtOydWodiKUo3soqzg8OZSkhI5iqqZg90HPjJ2im+65NKUMWWmOJ
hS28E4GZnZuq4F3JgNNvyeRA7Sjmcw36nB0nXJnGBbGUh6x1jmMyYy1jFcdn3GwjWmJ9q1HPM4i/
fmnQyWcMn4PKvO7hOUvNlBexZzD8gsop+vosCaH2puXOjgDADJRgzowIvH94y0peMl2Qy8xlvgvV
1DjG0lBeuZyX1EfO+tRR7wh7FKN7UtWaWh4x+uxh1TXThWrJQ30zplPeDcvW5XtA4Dzkip6cWlXd
VXYUL0WDbkUkyFzobWIvy1nLjbMUDJ5CHazC0MumYpIwqF+LhnZxyw23mTVR72tEN7kxRJs0dRLK
s41wW+NR8pnh0kQjFeb6edku5DSpaG+l8myasLBqZwNQI0JoKBkgQlilm05lC1YaSwencb1IPKNc
BlpRnqtxYj95MrwGdxovY1fvNwxdKt4yyRrrtLvUDKdb9H3gvEzm1K4aTWKaGtszXU+YkAfuLoJY
vhss55ql7xwHfOgb9I7v0xgSS27R5Jxla1Pq9gav4iZHzNpwYPiSQRBjTytfQ5p/jUiU+CKJoZqt
Sw/ioL2Kzk0/91P49sPd6Q+OJvr7Lv+3PTcDBjqbkP9JDBhkqslV/3wKwFZKPB+o9ZbqdCx+OeEx
b8rQbsKxouyvtHmXKFNvVej8aXuulmP8QJoNDPM4DGyfGZJHrJOk1vG8lGyVaFLsvVU4po3kuoxd
uN4aTbbgJlJ5VzaF9jLIgPez1ggSc06VOTVuvKmxMe71aPlj1Qz7VIs4AUShrTS7BnP7fVdUwWGQ
yUAg9n01Ud5Xlvp9lWnnBQeqU4TG1El8PbwvB7TRpuj8XjWVNRpSctUlCjJRhvFn1zCk3TXCDl/0
oALf2oXrKrL7syxo18KjnKHH6+QbRFVVMxKYXIvDbFg9MFHAqqazgUx1L1rm0E4WOgV7/tAbV1Ou
dT4QkfbMLgKLeTktMt7QYZkt4xbFLdgYBYYKo3e6V80ti9tmoBaxNkgurdK2htTQpsSgNgmA4n5h
TzGVQsHEu8VWk4arm4N0uTArLUmv8Vto4iBrNsNZIixkR6hoo0cihxNKjouFVu+o9qYjG9HZoJZf
xGWTHGSomcfeZPZIh3RYPLIotIusdqa1RYcAQeWpiXlBa1waFeTQsLN6qBTJqclKfW+rbJvKME+0
cygX6UXuxU5IRrBTk0UGajg+yxl1YedQnEsQ98rGQdJ+cYNB2RDn6o4B1i+f+Xb4EtQx79Yxrvsn
abF6De6gX7LXVU8x5lw8xNpnMwu0rUqdIC3rFmMdPW+OWcSWOLb0TZYDldFqUOECv7XTK8PBDQEJ
2WMDECNqCZnry7jRXCpP5VnVWQ9ROI0rnrl7whSgrtI44JF4HNDcaPD1SrvJKSsHRjpuqfUkI5EB
0RqNL5goKDXFVQC1Fr26MPFaRt3egMsQaTQd6NqhzYP7IKQTssZyP4jPiF0+btYLdRjI2Pa9tR6n
/gt+Pe2CKN4rKj2SYE/ZoobrZe2OiruF2/VswS/fU44LX9dOoy/S88SeCXV7yktd7lqqpXDIzKbe
PGVIPLQvbBY5klrGl8GcW2NQL3HUh9SbaHF8MBPlcYLBusmlql0UtXeOX1oucDnpK9qBJdwirVyD
I8SG3yN0QpieEMPpHS6GjBQeqxWQ51XnVkt2CeuyarvzqdIalFYpN1jf2wWjnmsKNcbzTNNi8mU6
xVuYu9l8aACqiROe6FBpCQ2GODaHGMMWknUomJnBSXY4MXuWLnxdycxXGjEGHJNa9QY0F+oYhQ5r
s59KTrZwQGgt5rOxFS4TI002tRgT7rC9Lh/hQJDysEep32NSp8Z5aHL1Ibbi7g4GPsEe6NDJWxTE
dJzmAWxEagq7OdE2ttVGafooXJV1k6OYc49u5rt1+n7jrt5v4vB2uaHTKxvGW/f9Rj+83/Sn9w1A
FdIL71NHPr8l3zcJ9rxfiOadw/+ctoqO2PtfOm3NxIBfn7aW/2hAhCP/+zPX/M3flMhZb9RRORnE
clR6J819UyLVT4x0fxApOe58P3Opn/gMPBekMV3joMSP+37mQqS0DXLpTCtgkID3+ztnLu+jbwie
hmFiA+CfSSfc78bwjYKLtNBMcg3xW+/YF05jbSrbu0mCCo9hoq0yyRx6YPwYh9ixJvvRwRrce0/R
7NzUlPDA3OUu7e0NWLm1RvNMQhVos+8oQhwdDO7BcA5++q7WjU063+zopU+mhhnqooyQTrLqgO+f
INzaFnwvSNAsabYmEbvUNk52Y11YNn3TtXkyAw0okT8zZscwWsvKwwlbX2Mnvp5GqMZI/WbEUpoT
j+o+T9m1DIkH0w9vjfbaMcW5U7m7PszPtMq8KMzxrjIA13TF0bbUVcXqkuXsjJG1pB7ckFNzGf+Z
N60dbhuRXOaBSX4hIkvWWs12CsTgc8g6daGzJdRHGYM1PHWNd6O6zcPcU42B2KR8xN7VSrrivPai
dMayrvIzk5qPH668P9hJaVwNP8mp7y+iQ/GWgeLNVfPh3CyBSrSRqpgwj+u5v/0dLBWK+tKS8tKh
lBkeB1PuyVkp8NsHXpk//wN+Z+edFW3VsTm/k7sEZvDBzktDmFt6Oi2QrExThRLk9s16VDPNH0hJ
MKfXLzEy2Zs+mI5JPd0NRWycocHj2baBsDr+qzS6Zj2h+FK7YcRrRwvyFZ3YZ2PWbPs6TRe2y/FO
nXMMEwqpaWX5klgF3lQMB5C+RbYScC5p2bD9sgws0hrGocbryFY/UFd9q79IEUhfjNMJm+tmasl6
8967N2r9gNPi3E36A1XD9b6sq/Dw9xfS8/ilKdvyrXsfCb2UwFLjMOre9ZLf/uuXX/VvGCtmQeNl
dzVdN+d1yGKV++GyWT53zz8FjP94iPMflMn+xy8X0z/8Fb9NeLDuIcCbiEWUcrGy/bCu4nAijPw1
VMy54od1lQwy7ip4bxigZpjRb+uqCiWFn8fDmX/k3/I3aR+ZCebXhRXGFD2YMMm9D4ebmlluEtpU
SgXiljT8uXejrUFnwPxjJxksIKSwXKrtlXHLBJpNN6Psto5RiO+DsVvGgUIJkUk2OX/ygmGZRvBB
SY4qa/INm6FyaavId5H7WY7mMqrwOPXxfS+e9JiWEUmmRp2ujUrxhS450jXgXfYMfKnfzraEZwf9
IvzCYdEvrDPJW6oQ52XTLwL7jTku2BuUEDq+NHtnJcSu8G5dAHNbSqEsskhuchvtyx57QkqYEpQN
0+BmjVsnXJR9djFGT4WHaaIQnynwY66rnvJ6wqsbUmxhGbJatQ40iOKlyy5tFwtHT58blnhCswxt
M4zmHDiEox+1JLkOs2lnGM1alfpWMfM96kS2gHkMrh7AR1Vdtn2DmYkucUbHKztRj8QmOcYlCZmC
EkO7WSyK2nxUSUTzMq0oB1qV+MoSsHJmm64l1rMGs0ZiN0tUv3Mj7o4dDGwtMF5Sxz6OJX8rZCgL
BKp+N8bytlTgiuYcMk3YrYlran5kO7lvE3ah4yk+hnnV+zUZat9044uaKUQy/hNeDHVvH9f79+UW
FrPGrsL53fiMbHo7xiXO3nHKb5uOPIxptsdxsLaRsFe0JdfLzLH3XVpssuoSz/HG0sxDl+NrYIPJ
wbnFCxQAZ7DjbJsq6jruxbqhxs3vA+NoDOV6HK1rw7QwxyftsjbiQ10c1N7cNFVx0CS3eZf8W0W+
eDpZWbR16RJqNO+i4yWsZPxmNtaVlT4qPM0BdxzaQdZhkq5DLVo03GBrYSyh/4GuZuRDXCpslC1M
s2NjNevBMI8SwKdtEhXEzOaNxCij7ibhxMAluZnQg7UnG3Etmfp9bU8XainokCnRcx1njDisIpdI
5m4DtyEsazWZMVREK3c/553cZhllUaINeS9xH0n76WyikcB1g2dZWesSQ1nOD+TsHs/tP5IonXmv
6yHq643eNOdNYG45AN8U4xOF5+MB6xKxy0JzHuvAwBYUZQ8KyI2o0jZ2wiUibJMJiretjeaLChDf
H3J5GUrS/W5QWkuvM/pDjepa2dPTD6vrH+wK9Pmu/5u88nXppKXZUJlyM6d6v2n/4DeeStVNiXNi
YSjT1xBnEZVAm6DRnmoq46ehIdPQXNVBejH1w2VIgVFCXXAcI48gCSCwOmR2QR4igSKrepe0j7B2
dVet6xXLqEuPSTSAFCv+ydVtGh+vbnbJOEiQ7CxuMDPp5mdZqEWOrgaNsVrtNA5mRoPEOH+wRSqy
R4drmPYFWYQRmXWxIjGnEGrE0Ng/Mz4eAVHWUQbJXpksv6mhP1SOwzUbUkNPcM/pEZl0O6MuZrhm
Yd0Y2XiMk/66UrTbiZA/W6kvoYX/A88MLRLdssQ+5ZPG4RfbXbkaXZelcdDf1D7CEtd1Cq5qos/J
VBEYrcRVNAxHwRChsoMQtFjBZAy0iW17T4gdmo9L/wZ2zeWQmYRerIrGoCRaWUZ1IzrljZLPbOHG
9hsJiOvWTh7QNjbN0BKi0d6qLN5EI0Dtgr8grHcNZhZ6nBddZN2h8G+ILGPpbD4LtCjJgb3MxYqW
8lAVC3UA6Zxa90Wl+7gP8dyOK9g952Tcjm3H3aNSdew+KHFakfpR39+zD76tCY7YhfkwpfVtGI+X
PcnI5dAT/FW6rZHUi5qWWYp6rq1IbFWi28wQXgK1us5QKnrdWNpEr5rEWtqJewwLdVdW4ihMApqZ
e51r+uD3ub0kUbDyYFfEobUOI3XNS3+mamznwGvaY3xPWnM7OLh7nWphSVTAsy6YVq201p2XLTIn
9jXaFafref+P0kkn3MGr0l1SBPeMIsm6OMiISQAhm/ydm06rSFAeRGzjLY2iWT08otMt6yZ5rDE7
+l6bgKfUM3UxGQRUE9vp7pPcOZWhQd8W++sC8dD3qoH0evJSZybZcf0tdvNdoHj3ZovIoJRf2Kyu
K7Ah8170DEw93zGUx65OtzrI4qSsrnNhX6VhcjB1/FBkq6iis/BCsWUOlG7plT00LLEMwrbgzvSQ
6AJr0rjN52JcvE54Ibr81oiKh7C1zsbGuMvQA/B3PlhTfTPmPfV6Sb+rA+dt0o1D0Ef2SpDzAxwR
HuSI1Q+1Ui6b0M2oqJvOSKj40Hguias1G6dRn02EzRUk7KvSkM+UYsFg7rsHNTOYojGHAqYtj43Z
3Q6Tux8cEuKGGq+UdJeS1gfbgm+Tch89Sm601qaroD+o4/g5x3XJpAmwQUaBnBiXo6oe8UMvgQPc
5Z3w3YY5leld2b1yHqaPZJPwbvcLL4gu2iE+YSSm1NG6M5PqbYp1Wh3kYhy961EaJI7AuHdk7bT6
KlA+D6n7BhvxaQw5ienjGn/zS8IgP86dgdm6dRV4r7C1mbWsTOWicS8q7cIyLov+KhniY4OS2RvY
Zw3ssjptGO4tHaFzM+2iJBxcYLccgCLoyWsaS44hLirqg+PdCCvCQ2n6RvbmxdFS0x/78NoJyX26
je+aJ8QybJg4EXqdy0U5T9QrkhjwJKczNSB3L+mi4B4V2+YOrADdgas0Tn2PKV1lX2riBdfAIneM
h66nQlXyvk71B9c75qOg/eOkhj2D+zS6r+m6W/SxtQzjzwKcS96/jUm5oCL982gY2dob2s+47rZx
E27TWPsyiITBghflflp6S4ma51ueWOqyxnlXurskAhFDPhNDbJjfgbgOV6MuzS9Ko2u+S964ROBf
i3I6WE1xE4W1s5wS7cZLlcdSyvsynd4dx1PQYdqENkkXtYHBpkuBr2dusXJsiNeDKF5o+dy4k7Pt
OLLaRIQXKvF19lXjtWIixTZqtRIw33IClJ3NdlhrdrYItAVJFH+ync/5MOwhkLy6sr/xiqpa1Im+
TRIZLsuWrYkX5OkqcOY0FAixZOhuMmNia5dTFWuelZXxlqrYR7QNYt3ehN6mlc15KmiE1Qj419aF
lN2GfLROJTMcvMaUhOCEpSxhZcTLzmoAE5tet8pSRfr/K5oCPUMi9laV5R1Tffaeu/1NrOYPzYwU
zUuCfmEbXBmRtue5ien0k7MmzDG1dBj1OAXuVxWhmAGkff33j6Q3Zc6/j+fRf8OTJuoZ9oe5/ubX
gtxiJlfFuAOjP1Dj+M5vp0b7E2XuOpshbH4zcIpj2bdTo/2JKAwbJRtTGhVivxkgDMQ49iEobvjV
5iwNG61vh0Y+BbNKw+qKK1aDhvW3DBDafCb8ccfGMRZT4EwXZv9j0uD1886HRdoBKJHIDRHE+jYH
+PtQO1p47upBxBbDa8bHTlE/z7CGV7cxiifRt5JG6yjqV2YrypUzlM3KsRTvodGGcj/kVQhEJs6+
WHCK7v+zrqCfrKi/VDR++qrNazljyNr/Fy5GlFIXmhrSwa+vxn303PySpcZ3fr0aXeeTh8sFL8DH
q9E1sKJyCbA7/vli1K1Pusu0FC4pLh5KH5HavisY2ifPgbLmWQ6tQcS4/pYyDAPzw9WIoQevK28X
fhza9Tth94fzg5qrzOkVSZRAM8GKZQDLCqJZGsbrtrd6OtCtwL4nRqlmy7ah72NVtSnRBnIiobZs
Wx3BNKjq4VqowqP5zerYsmVKfu6OfbfWRNRdlUJSXquVnJItqKCcHbN4G/VlceAPypc438RWeD3V
txJy1Hhml1SW03pZxJdWT08kjkmDKWWWJU50aByHRuokKrMrs+gs6dMTLCVG+YnCS8z+tNOXDkgL
v0xiTow9DrvYB//vbhEqrGGbslG/Gnqr3tKlQhm2NhYPuGbpvuwDrf/CgyNRSSU1vrnQ6G+c1sY4
wY0kC2aDTbARVoVaoBCpKH22mAb3b3vgLmHUTrmOJ8H9pB2D+CLu8Mrgv8HBsgwdzr17kvRGCtFq
RItJ3DRwtgluXpU+Fngdq6AxYzKwtrDHRRwVylPZB54H+0zGZyXt1s819JezVse87Ddl6cSHkS6G
aQm2swOwYzjMt2fEpOOXQ+A+hKLsHzM9FSb4ua581XH2vUWmoyjUOFZkMZj+no9i4IjcWV5b+32L
p8knUpRuNUUXR2VShlNiNPmLkUPVh1YU0R8ua6E8tLUplWXAILrcmBhNjopuQcTRzTDjBt3CW1oA
ncpuSiMbyIPjLwE3jd23XLQg5t7sSmVLH8IIfpwcuMnrXqk9TntALzYxaH0QLxXgNj9x0onDAxvu
g4Ztaq1VxbDUm7Y+VlKpjtEAYcjoyvoqSlz1oh7pu+GAluRimdHzRmN2Xj2rbTcyKk2MfiExSSyI
0aZ76oupUDNTesVH2l3a2MWdMslCbjqzLtelhfYRhenI1C/gKBIW3hZIT3s3VmV8b3oJdD9jgrDr
ciZ/IAY+XWvlOB6LkM2K2dE4m84d6olGKjdLLawuVZ2e9xpj1J6fBa6Qrp9AE4zjW+rcUa9UMDtz
LdDU6HiMYvJ+cxtoGTQBvb1dudVzGl0Lwy42lhrld41mMlZxjVvbwC4NHXok81b59XAg6c2VD1GQ
fnch0itvwOYVRzxS0asubpO4PdQB8Rr2IRDBwqJiJtOPe2MubXzvoa9Vu5XsOucuZVCoFFHr5C00
S5tOhk6LiyygE3GtG5tKT5xqGRGuf3OF2Z36oOJ02Vva9RSK6W6eGG8zhxLutUhqZyBJUxV3GcSH
eybg1V1adv1bH+FAczSL/Z1LRjTlZycq1I9Fm3Jik1hLH2s9b09FbmrPwgtQB2rd8a7pNlcXRYQ1
aZHkICg4qcks9cfESBgQSNBd0CGfxZR00q+U1rzV9Rqmy0DmrxFDzmQpcS65t9pPCciFVZRbASYg
ux2u6LkMtrKKtR2MguyL07Jb80vOyJXfKZa8TJwCdcJTOZvoca3dzRfCjTE501vkCFEtXaFmtxMW
kJPMx6MDsXagEbXL4ZJbmuBxKjVdFeQVHg0D3MOmN8cCgSjLggtM0/1eskZcBWD1XvMoHWFHDqO8
T70i6/yWpXlr4PNF2TQCdrFNOWHB84w68ttUt296r9B0rEMwmglZhmT3w+LZxnDwqgMbqThkkXJV
Y/Da4NuKBtuMO57BVelA7k7xhKzSeUuql2CoxEgHdAU07Le5BhoC62s4DSpGyMBs9tC2atKgWWNr
y0Lrp20mXYDEhYz6mSZAL06Z8iapbIvmRLfT26tQz+pNTEaopBSwb68TmF4rKPn1jtSnfTDsLLgK
M9N8hGmU7iHgBk+KaK/VKh/xkfUEpipVJievsdN8S99o7A8t+BPEm7DfQRUgWqgpUt9pmjTO7NTt
zrMa76OPKBddptboXdCwiNCRTErPE4EscxI2h4UtUnp3HahxdhMNofWkJwp11EPoHEBhqidwR2If
E/THigE3ME77PFwofVSt0nT0LvNCyu1QjtYeyAXoedEPiA6ZKmIKkdvOxhcU17G1EDaeVd4KuLSj
tjyFdUKYvhvAdnNWeR6pzn1WwCBh2FL5mwVa+BetgxQ+lrF+MwBaX01m4aywgLhnYdNUL2EQimdy
AsAUQsPqCMoq0Ab9aRDN1pZxgnTUzbYnrXgL2hLxfN5t0JrdGesByoZc6lZr7UAQlmeJSA1w2/Mz
Ko048h1hEWbEhrGLoDKcSB4r9qJRXWrB4jHlfutWXn3hRSwvyHFWjjSOhgNvM8OwSOtkcBV1Enve
gGv8ko4zTj+la6a4JHMH/mGMblv0sTw1RJe5szdtcypKJ/cWLRwVzHUJnr0UiNVZMfQ1N6/BTi/a
dgzXTpSX+8hqyUSb0Lq+OLkIEG9BdtBXbyBee5YU3lrXB/XWdrL4jns21lAy9lhCHK8cYIAo1iGj
xmbjEY6/9SLmkKijfbFw8WoWWK565ZDFwaTu4qEtboyiNjAIkvw9TLWimoeoQIIoK9VG07CoDwMK
XvlWW7AHnzkKXenoV6Pq6nvTA0sdtKqy0NwQ/nM5ieNUtDwhHouurzhdd295dfkWUdFwr4rG3mSE
2Xft5GZLWKXFlRfU5pnTGHoKTbS1Zy8rSmQnDLZDVmhaAWDCClpXFMUXWVCn9yUnl3M2bBToBBBx
ar+mKfbMk7376E14zcbYflCZw2+knaJpzHOWmL7upddU5g1idrqjZpKgh8ecG2Cm0zq3id31xarK
PBRJK80eC0RGijJY9tFrm+rgRZq3ijoKwTFe6yOe6yza23HZ7yTtMTNsByU6AFyNqZLeyiQhsx2L
4UkiOSTEYkx7kRlO+ujK2UcX9Ya7bQLVvTBkH+nLWlOH18BqvVU/QtRmY7RSq5icr9HOHnl3i+02
ReBKrQO9hDemDJqN8IZrzRmq+8bMGKCZTRf6zuCyYiWDpW5GpUX0L7Mwu465TO7rUR0Z0w3TNhbK
QCWfocUEM7xh3PekPZGBegzpq4KM04PXdvJz5bgUkklW9Q5vKAlcbj8EPbZTWxF4ZhCMlhFm0Lh4
mSd/ZCrSsmxX2WNc24In0RuIAencPukG1LXFFPUI7LLgneqVEsuYVJSjXcY3JDacYwhxGx0hIYqK
2dbY9SbQby2h84TFsFReKWlTbzqgLNuEDqtlUobNOlQjc5HR9n4jTLSnJFlPRHMqjE7nba4CrVGF
uRJ5A8bOU2GiFFG+yzVqw7EXh8eW4uGlYmsXDjnvC5utMikiVZyCuozP0inT1sBiFTpgNe6xvghI
Ni+cWjjLISj1dZ97yYUGHu8srHMYdUobWfk2T8PuvMFx3SLsWPadNViZTui+jAykp0KxD6D+u7s+
bGza1UYzvKtZ67iDSeuqciALLmc/o0FZQZENqKauR0aV0e8tjjPvgqlddAydbgaJh1Ii2MmRbHMz
1A+trdm3bmbLMztzAoznVJnetXZpnVjsNOSlWo0eeQOra0OKgi20YuD68LICdvIYnlepRW8Ff6e+
hIXj7nUe+JtnD3jyI8pZoI+x39wVIg9jP5sA2y5Mp2vVbUXB45oS3Tba5lllFKyaUlOWfQsZ1Q8z
qIWkp3JepS4MsbL0rROvSKJb+qKZTOVZUcz2uiDYS0idPfuyyov8cnKy/hEwgayW9SCL8951AJq6
drdoE4UtjjQH9dJt7eyxhTLTrSIzSfLLtohUw+8p5baWVmSiqHk4+cclnbn4YtUiIqA1VnAoeUd4
+TYYdO8+ICMW+IMT4IBJHS7VRQ4OrdxjowOnURWS3ll70u7bFhrZprNV9+BJiFwgAcOYsambSxyF
DYEiiJbmW9tAPJyx/41cB2qHnRNxhCQuTMc2uuwMkyNHlpVM0NxIm7jpZZT7kZG+4j0jmCNT3sng
Y2Kvwep/6KJh2/R5cRhxO92zLFlXdsntIE4C71AMskMiTlsYa9l0L6bQUXwviqnUnUqEzyZS6YRg
SZq+VTf9fxNX+vZAZqvG6t0Yd+pfG3n12vYUOn5P8syfPZZx0d2U/3df9Oc/6JtH5J9Y8qiWnWuw
Pkgu73/W+9/8Zz8le8bz138hX6XrRJlwutEQr75/ILBlZRF++7SjfbI8Ro+aRgh4/kARQeL54Vn6
1fPw5w/x6xP651/z0wNA5y66+YUIiZH+JGfOVoCfVKdfPAUffsJPTwErBmS3udrm/ePnp8Cb3YUU
B2EvfP/4+pT/1z8Fv47C2RqqFEVof+2J+PBzfnsiNOcTECN2c7MK++NF4H1iWO6SAQa9MH/w6f+W
i+DDX/5bJQNBdBt1+q9cBh9+xg+PnhYHqh2gOH149O4nU6WcmBH8v9vD/jYEwA3wLz1yGifgTgGe
sonzzx8f1gDnE29/uGgW9a7zx3/XGvDhpfvh5Z/Xp3/1SSC4aWFH5i78R0/CrEs7pHLoUv53uwow
KetfX5KvrLF/3J3+xm1A8z6Rf4WLNg9a5o8Pl4D9CdeJx9b96xXgfX22/63WQPCk/+IloJEFBkeo
M2b61ZNAHhgewrf7xNf19i89CX/hi/6xu1hETJ/e9xXxa/tH249ffcH32+nvP//tVvreXsP98qcv
nLcZX3/31zfU/N//+6e32vvt/odPfr/9v/+eb9/+7QH+/lf/9Lu+P6rv/3MbvzbPzQtEi/e91rc/
82v7Di7Y6P+wdm27CcMw9Fd42gcMxIQmTRqatAuUoY1pz4ZGNNAW1LSa2NfvJBAgEMpU57FcTl3f
k9oORpyMC4qFSpyQj8Zqe+1NkvbesBZfKcosjObMLQaj2OvmsH2J91wWRsNihCcyhgP7znra/0Xt
CxUbyskCGUniaBDYPRtZZjRLKPVyGpXriC7cW7xRllWtG8rW960BYRS7dDgEi9JHe3LvMqAiR2K+
dJnUNX6BjQ09TU+AOz2EAi7wkJYqofhHiLUFM7LFiXJIQ7joEcXJxm9DwA+g7e+xBPmWUGNFqFAM
IMxxFVezRGCz3AHvtnWnB5ct4ypf0NTiGKoxzyEA1R+0IFWi7MLBRkl+AOxPiaPuHIeFMladk3K5
MaFMpq0RxZXF0hzZpdRc8C99hprPtbTRWBBAw7+FKlt9kc8pdajfZoRc6iOCM4fDKt3BsruMi4v+
XC2AXh7TvV/Us7FXjlVqXMzBtrdqHt4QlfdtfiM5W00h3VeVotBIWXCtPUiTMGcsgNY/4o3C5fCE
QWmY7x1AjSL5uyrcdADQesRLgAhbP5rYZD7NBeLvITqWhXkQ9P3Yz5rfa4RRc1rUFklLersG1ZUw
XJWtn9bDZFMk5shxaONYxY72AMnkk0gTaVlwYEsngMVd7ATbUm/aapnMuVooyMZPqCylOitF3NWN
BQhiJs7Un9XJfIir9WtM/ImAac1Pc/zD1h7XvIYUgz/HOnrXQcUURjj2MBdSN/+hZsJ+3dxH+P1R
k57GWn761pv7fenzVajdb/b9zV1i61/MUkHFwx8AAAD//w==</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68581</xdr:rowOff>
    </xdr:from>
    <xdr:to>
      <xdr:col>7</xdr:col>
      <xdr:colOff>0</xdr:colOff>
      <xdr:row>10</xdr:row>
      <xdr:rowOff>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CA76895-9C0D-D71B-A18A-F9EFF8EB47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38400" y="68581"/>
              <a:ext cx="1828800" cy="1760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167640</xdr:colOff>
      <xdr:row>0</xdr:row>
      <xdr:rowOff>91441</xdr:rowOff>
    </xdr:from>
    <xdr:to>
      <xdr:col>10</xdr:col>
      <xdr:colOff>167640</xdr:colOff>
      <xdr:row>7</xdr:row>
      <xdr:rowOff>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43D60EA3-12AB-5EEE-D49F-B992C92FD65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434840" y="91441"/>
              <a:ext cx="1828800"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556260</xdr:colOff>
      <xdr:row>0</xdr:row>
      <xdr:rowOff>83821</xdr:rowOff>
    </xdr:from>
    <xdr:to>
      <xdr:col>14</xdr:col>
      <xdr:colOff>182880</xdr:colOff>
      <xdr:row>10</xdr:row>
      <xdr:rowOff>7621</xdr:rowOff>
    </xdr:to>
    <mc:AlternateContent xmlns:mc="http://schemas.openxmlformats.org/markup-compatibility/2006" xmlns:a14="http://schemas.microsoft.com/office/drawing/2010/main">
      <mc:Choice Requires="a14">
        <xdr:graphicFrame macro="">
          <xdr:nvGraphicFramePr>
            <xdr:cNvPr id="4" name="Payment_Mode">
              <a:extLst>
                <a:ext uri="{FF2B5EF4-FFF2-40B4-BE49-F238E27FC236}">
                  <a16:creationId xmlns:a16="http://schemas.microsoft.com/office/drawing/2014/main" id="{D6D02537-B511-1BDB-199D-59BC0CC33293}"/>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6652260" y="83821"/>
              <a:ext cx="206502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396240</xdr:colOff>
      <xdr:row>9</xdr:row>
      <xdr:rowOff>99061</xdr:rowOff>
    </xdr:from>
    <xdr:to>
      <xdr:col>10</xdr:col>
      <xdr:colOff>396240</xdr:colOff>
      <xdr:row>21</xdr:row>
      <xdr:rowOff>137161</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0C9ED518-5386-4864-6BCC-26716CEEF6E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663440" y="1744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457200</xdr:colOff>
      <xdr:row>0</xdr:row>
      <xdr:rowOff>121920</xdr:rowOff>
    </xdr:from>
    <xdr:to>
      <xdr:col>23</xdr:col>
      <xdr:colOff>206829</xdr:colOff>
      <xdr:row>50</xdr:row>
      <xdr:rowOff>10886</xdr:rowOff>
    </xdr:to>
    <xdr:sp macro="" textlink="">
      <xdr:nvSpPr>
        <xdr:cNvPr id="2" name="Rectangle: Rounded Corners 1">
          <a:extLst>
            <a:ext uri="{FF2B5EF4-FFF2-40B4-BE49-F238E27FC236}">
              <a16:creationId xmlns:a16="http://schemas.microsoft.com/office/drawing/2014/main" id="{61EF3B8A-D769-4888-0B29-6F16B6C20698}"/>
            </a:ext>
          </a:extLst>
        </xdr:cNvPr>
        <xdr:cNvSpPr/>
      </xdr:nvSpPr>
      <xdr:spPr>
        <a:xfrm>
          <a:off x="457200" y="121920"/>
          <a:ext cx="13770429" cy="9141823"/>
        </a:xfrm>
        <a:prstGeom prst="roundRect">
          <a:avLst>
            <a:gd name="adj" fmla="val 4647"/>
          </a:avLst>
        </a:prstGeom>
        <a:solidFill>
          <a:schemeClr val="accent5">
            <a:lumMod val="75000"/>
          </a:schemeClr>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236220</xdr:colOff>
      <xdr:row>2</xdr:row>
      <xdr:rowOff>7620</xdr:rowOff>
    </xdr:from>
    <xdr:to>
      <xdr:col>22</xdr:col>
      <xdr:colOff>381000</xdr:colOff>
      <xdr:row>5</xdr:row>
      <xdr:rowOff>144780</xdr:rowOff>
    </xdr:to>
    <xdr:sp macro="" textlink="">
      <xdr:nvSpPr>
        <xdr:cNvPr id="3" name="Rectangle: Rounded Corners 2">
          <a:extLst>
            <a:ext uri="{FF2B5EF4-FFF2-40B4-BE49-F238E27FC236}">
              <a16:creationId xmlns:a16="http://schemas.microsoft.com/office/drawing/2014/main" id="{D78DA871-D75F-23A3-C5BF-8E39187043B7}"/>
            </a:ext>
          </a:extLst>
        </xdr:cNvPr>
        <xdr:cNvSpPr/>
      </xdr:nvSpPr>
      <xdr:spPr>
        <a:xfrm>
          <a:off x="845820" y="377734"/>
          <a:ext cx="12946380" cy="692332"/>
        </a:xfrm>
        <a:prstGeom prst="roundRect">
          <a:avLst/>
        </a:prstGeom>
        <a:solidFill>
          <a:schemeClr val="accent5">
            <a:lumMod val="60000"/>
            <a:lumOff val="40000"/>
          </a:schemeClr>
        </a:solid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l"/>
          <a:r>
            <a:rPr lang="en-IN" sz="2000" b="1">
              <a:solidFill>
                <a:schemeClr val="tx1"/>
              </a:solidFill>
              <a:latin typeface="Bookman Old Style" panose="02050604050505020204" pitchFamily="18" charset="0"/>
            </a:rPr>
            <a:t>SALES PERFORMANCE DASHBOARD</a:t>
          </a:r>
          <a:br>
            <a:rPr lang="en-IN" sz="2000" b="1">
              <a:solidFill>
                <a:schemeClr val="tx1"/>
              </a:solidFill>
              <a:latin typeface="Bookman Old Style" panose="02050604050505020204" pitchFamily="18" charset="0"/>
            </a:rPr>
          </a:br>
          <a:r>
            <a:rPr lang="en-IN" sz="900" b="0">
              <a:solidFill>
                <a:schemeClr val="tx1"/>
              </a:solidFill>
              <a:latin typeface="Bookman Old Style" panose="02050604050505020204" pitchFamily="18" charset="0"/>
            </a:rPr>
            <a:t>Interactive Sales Analysis and Performance Overview</a:t>
          </a:r>
          <a:endParaRPr lang="en-IN" sz="2000" b="0">
            <a:solidFill>
              <a:schemeClr val="tx1"/>
            </a:solidFill>
            <a:latin typeface="Bookman Old Style" panose="02050604050505020204" pitchFamily="18" charset="0"/>
          </a:endParaRPr>
        </a:p>
      </xdr:txBody>
    </xdr:sp>
    <xdr:clientData/>
  </xdr:twoCellAnchor>
  <xdr:twoCellAnchor>
    <xdr:from>
      <xdr:col>1</xdr:col>
      <xdr:colOff>320040</xdr:colOff>
      <xdr:row>7</xdr:row>
      <xdr:rowOff>45720</xdr:rowOff>
    </xdr:from>
    <xdr:to>
      <xdr:col>4</xdr:col>
      <xdr:colOff>518160</xdr:colOff>
      <xdr:row>12</xdr:row>
      <xdr:rowOff>83820</xdr:rowOff>
    </xdr:to>
    <xdr:sp macro="" textlink="">
      <xdr:nvSpPr>
        <xdr:cNvPr id="4" name="Rectangle: Rounded Corners 3">
          <a:extLst>
            <a:ext uri="{FF2B5EF4-FFF2-40B4-BE49-F238E27FC236}">
              <a16:creationId xmlns:a16="http://schemas.microsoft.com/office/drawing/2014/main" id="{BB12A41C-645A-9311-C3F3-434E685175E2}"/>
            </a:ext>
          </a:extLst>
        </xdr:cNvPr>
        <xdr:cNvSpPr/>
      </xdr:nvSpPr>
      <xdr:spPr>
        <a:xfrm>
          <a:off x="929640" y="1325880"/>
          <a:ext cx="2026920" cy="952500"/>
        </a:xfrm>
        <a:prstGeom prst="roundRect">
          <a:avLst/>
        </a:prstGeom>
        <a:solidFill>
          <a:schemeClr val="accent5">
            <a:lumMod val="60000"/>
            <a:lumOff val="40000"/>
          </a:schemeClr>
        </a:solid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IN" sz="2000" b="1">
            <a:solidFill>
              <a:schemeClr val="tx1"/>
            </a:solidFill>
            <a:latin typeface="Bookman Old Style" panose="02050604050505020204" pitchFamily="18" charset="0"/>
            <a:ea typeface="+mn-ea"/>
            <a:cs typeface="+mn-cs"/>
          </a:endParaRPr>
        </a:p>
      </xdr:txBody>
    </xdr:sp>
    <xdr:clientData/>
  </xdr:twoCellAnchor>
  <xdr:twoCellAnchor>
    <xdr:from>
      <xdr:col>5</xdr:col>
      <xdr:colOff>53340</xdr:colOff>
      <xdr:row>7</xdr:row>
      <xdr:rowOff>45720</xdr:rowOff>
    </xdr:from>
    <xdr:to>
      <xdr:col>8</xdr:col>
      <xdr:colOff>251460</xdr:colOff>
      <xdr:row>12</xdr:row>
      <xdr:rowOff>83820</xdr:rowOff>
    </xdr:to>
    <xdr:sp macro="" textlink="">
      <xdr:nvSpPr>
        <xdr:cNvPr id="5" name="Rectangle: Rounded Corners 4">
          <a:extLst>
            <a:ext uri="{FF2B5EF4-FFF2-40B4-BE49-F238E27FC236}">
              <a16:creationId xmlns:a16="http://schemas.microsoft.com/office/drawing/2014/main" id="{497D3D8B-3F89-C785-E8EA-D26FDDBC3034}"/>
            </a:ext>
          </a:extLst>
        </xdr:cNvPr>
        <xdr:cNvSpPr/>
      </xdr:nvSpPr>
      <xdr:spPr>
        <a:xfrm>
          <a:off x="3101340" y="1325880"/>
          <a:ext cx="2026920" cy="952500"/>
        </a:xfrm>
        <a:prstGeom prst="roundRect">
          <a:avLst/>
        </a:prstGeom>
        <a:solidFill>
          <a:schemeClr val="accent5">
            <a:lumMod val="60000"/>
            <a:lumOff val="40000"/>
          </a:schemeClr>
        </a:solid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IN" sz="2000" b="1">
            <a:solidFill>
              <a:schemeClr val="tx1"/>
            </a:solidFill>
            <a:latin typeface="Bookman Old Style" panose="02050604050505020204" pitchFamily="18" charset="0"/>
            <a:ea typeface="+mn-ea"/>
            <a:cs typeface="+mn-cs"/>
          </a:endParaRPr>
        </a:p>
      </xdr:txBody>
    </xdr:sp>
    <xdr:clientData/>
  </xdr:twoCellAnchor>
  <xdr:twoCellAnchor>
    <xdr:from>
      <xdr:col>8</xdr:col>
      <xdr:colOff>396240</xdr:colOff>
      <xdr:row>7</xdr:row>
      <xdr:rowOff>45720</xdr:rowOff>
    </xdr:from>
    <xdr:to>
      <xdr:col>11</xdr:col>
      <xdr:colOff>594360</xdr:colOff>
      <xdr:row>12</xdr:row>
      <xdr:rowOff>83820</xdr:rowOff>
    </xdr:to>
    <xdr:sp macro="" textlink="">
      <xdr:nvSpPr>
        <xdr:cNvPr id="6" name="Rectangle: Rounded Corners 5">
          <a:extLst>
            <a:ext uri="{FF2B5EF4-FFF2-40B4-BE49-F238E27FC236}">
              <a16:creationId xmlns:a16="http://schemas.microsoft.com/office/drawing/2014/main" id="{42B4EEE3-78C0-DA0F-0EA0-67B46A9F8092}"/>
            </a:ext>
          </a:extLst>
        </xdr:cNvPr>
        <xdr:cNvSpPr/>
      </xdr:nvSpPr>
      <xdr:spPr>
        <a:xfrm>
          <a:off x="5273040" y="1325880"/>
          <a:ext cx="2026920" cy="952500"/>
        </a:xfrm>
        <a:prstGeom prst="roundRect">
          <a:avLst/>
        </a:prstGeom>
        <a:solidFill>
          <a:schemeClr val="accent5">
            <a:lumMod val="60000"/>
            <a:lumOff val="40000"/>
          </a:schemeClr>
        </a:solid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IN" sz="2000" b="1">
            <a:solidFill>
              <a:schemeClr val="tx1"/>
            </a:solidFill>
            <a:latin typeface="Bookman Old Style" panose="02050604050505020204" pitchFamily="18" charset="0"/>
            <a:ea typeface="+mn-ea"/>
            <a:cs typeface="+mn-cs"/>
          </a:endParaRPr>
        </a:p>
      </xdr:txBody>
    </xdr:sp>
    <xdr:clientData/>
  </xdr:twoCellAnchor>
  <xdr:twoCellAnchor>
    <xdr:from>
      <xdr:col>12</xdr:col>
      <xdr:colOff>129540</xdr:colOff>
      <xdr:row>7</xdr:row>
      <xdr:rowOff>45720</xdr:rowOff>
    </xdr:from>
    <xdr:to>
      <xdr:col>15</xdr:col>
      <xdr:colOff>327660</xdr:colOff>
      <xdr:row>12</xdr:row>
      <xdr:rowOff>83820</xdr:rowOff>
    </xdr:to>
    <xdr:sp macro="" textlink="">
      <xdr:nvSpPr>
        <xdr:cNvPr id="7" name="Rectangle: Rounded Corners 6">
          <a:extLst>
            <a:ext uri="{FF2B5EF4-FFF2-40B4-BE49-F238E27FC236}">
              <a16:creationId xmlns:a16="http://schemas.microsoft.com/office/drawing/2014/main" id="{674A1711-1946-6879-7495-06F8FCE36E17}"/>
            </a:ext>
          </a:extLst>
        </xdr:cNvPr>
        <xdr:cNvSpPr/>
      </xdr:nvSpPr>
      <xdr:spPr>
        <a:xfrm>
          <a:off x="7444740" y="1325880"/>
          <a:ext cx="2026920" cy="952500"/>
        </a:xfrm>
        <a:prstGeom prst="roundRect">
          <a:avLst/>
        </a:prstGeom>
        <a:solidFill>
          <a:schemeClr val="accent5">
            <a:lumMod val="60000"/>
            <a:lumOff val="40000"/>
          </a:schemeClr>
        </a:solid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IN" sz="2000" b="1">
            <a:solidFill>
              <a:schemeClr val="tx1"/>
            </a:solidFill>
            <a:latin typeface="Bookman Old Style" panose="02050604050505020204" pitchFamily="18" charset="0"/>
            <a:ea typeface="+mn-ea"/>
            <a:cs typeface="+mn-cs"/>
          </a:endParaRPr>
        </a:p>
      </xdr:txBody>
    </xdr:sp>
    <xdr:clientData/>
  </xdr:twoCellAnchor>
  <xdr:twoCellAnchor>
    <xdr:from>
      <xdr:col>1</xdr:col>
      <xdr:colOff>464820</xdr:colOff>
      <xdr:row>9</xdr:row>
      <xdr:rowOff>95250</xdr:rowOff>
    </xdr:from>
    <xdr:to>
      <xdr:col>2</xdr:col>
      <xdr:colOff>411480</xdr:colOff>
      <xdr:row>11</xdr:row>
      <xdr:rowOff>140970</xdr:rowOff>
    </xdr:to>
    <xdr:sp macro="" textlink="KPI!D4">
      <xdr:nvSpPr>
        <xdr:cNvPr id="9" name="Rectangle: Rounded Corners 8">
          <a:extLst>
            <a:ext uri="{FF2B5EF4-FFF2-40B4-BE49-F238E27FC236}">
              <a16:creationId xmlns:a16="http://schemas.microsoft.com/office/drawing/2014/main" id="{614E85B5-FCFF-E5CD-7F3B-BFF76BEB68B9}"/>
            </a:ext>
          </a:extLst>
        </xdr:cNvPr>
        <xdr:cNvSpPr/>
      </xdr:nvSpPr>
      <xdr:spPr>
        <a:xfrm>
          <a:off x="1074420" y="1741170"/>
          <a:ext cx="556260" cy="411480"/>
        </a:xfrm>
        <a:prstGeom prst="roundRect">
          <a:avLst/>
        </a:prstGeom>
        <a:no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5111A5C1-BDF9-4069-9C2C-6178ECE746FC}" type="TxLink">
            <a:rPr lang="en-US" sz="1200" b="0" i="0" u="none" strike="noStrike">
              <a:solidFill>
                <a:srgbClr val="000000"/>
              </a:solidFill>
              <a:latin typeface="Bookman Old Style" panose="02050604050505020204" pitchFamily="18" charset="0"/>
              <a:ea typeface="Calibri"/>
              <a:cs typeface="Calibri"/>
            </a:rPr>
            <a:pPr marL="0" indent="0" algn="l"/>
            <a:t>100</a:t>
          </a:fld>
          <a:endParaRPr lang="en-IN" sz="2400" b="1">
            <a:solidFill>
              <a:schemeClr val="tx1"/>
            </a:solidFill>
            <a:latin typeface="Bookman Old Style" panose="02050604050505020204" pitchFamily="18" charset="0"/>
            <a:ea typeface="+mn-ea"/>
            <a:cs typeface="+mn-cs"/>
          </a:endParaRPr>
        </a:p>
      </xdr:txBody>
    </xdr:sp>
    <xdr:clientData/>
  </xdr:twoCellAnchor>
  <xdr:twoCellAnchor>
    <xdr:from>
      <xdr:col>5</xdr:col>
      <xdr:colOff>114300</xdr:colOff>
      <xdr:row>9</xdr:row>
      <xdr:rowOff>95250</xdr:rowOff>
    </xdr:from>
    <xdr:to>
      <xdr:col>7</xdr:col>
      <xdr:colOff>205740</xdr:colOff>
      <xdr:row>11</xdr:row>
      <xdr:rowOff>140970</xdr:rowOff>
    </xdr:to>
    <xdr:sp macro="" textlink="KPI!D10">
      <xdr:nvSpPr>
        <xdr:cNvPr id="10" name="Rectangle: Rounded Corners 9">
          <a:extLst>
            <a:ext uri="{FF2B5EF4-FFF2-40B4-BE49-F238E27FC236}">
              <a16:creationId xmlns:a16="http://schemas.microsoft.com/office/drawing/2014/main" id="{FC4F972D-D6DC-6FAA-8F64-A211C0765A53}"/>
            </a:ext>
          </a:extLst>
        </xdr:cNvPr>
        <xdr:cNvSpPr/>
      </xdr:nvSpPr>
      <xdr:spPr>
        <a:xfrm>
          <a:off x="3162300" y="1741170"/>
          <a:ext cx="1310640" cy="411480"/>
        </a:xfrm>
        <a:prstGeom prst="roundRect">
          <a:avLst/>
        </a:prstGeom>
        <a:no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EF1E61AD-F696-451A-AD44-E8C259160DE7}" type="TxLink">
            <a:rPr lang="en-US" sz="1200" b="0" i="0" u="none" strike="noStrike">
              <a:solidFill>
                <a:srgbClr val="000000"/>
              </a:solidFill>
              <a:latin typeface="Bookman Old Style" panose="02050604050505020204" pitchFamily="18" charset="0"/>
              <a:ea typeface="Calibri"/>
              <a:cs typeface="Calibri"/>
            </a:rPr>
            <a:pPr marL="0" indent="0" algn="l"/>
            <a:t>₹ 61,77,861.8</a:t>
          </a:fld>
          <a:endParaRPr lang="en-IN" sz="2400" b="1">
            <a:solidFill>
              <a:schemeClr val="tx1"/>
            </a:solidFill>
            <a:latin typeface="Bookman Old Style" panose="02050604050505020204" pitchFamily="18" charset="0"/>
            <a:ea typeface="+mn-ea"/>
            <a:cs typeface="+mn-cs"/>
          </a:endParaRPr>
        </a:p>
      </xdr:txBody>
    </xdr:sp>
    <xdr:clientData/>
  </xdr:twoCellAnchor>
  <xdr:twoCellAnchor>
    <xdr:from>
      <xdr:col>8</xdr:col>
      <xdr:colOff>502920</xdr:colOff>
      <xdr:row>9</xdr:row>
      <xdr:rowOff>95250</xdr:rowOff>
    </xdr:from>
    <xdr:to>
      <xdr:col>10</xdr:col>
      <xdr:colOff>205740</xdr:colOff>
      <xdr:row>11</xdr:row>
      <xdr:rowOff>140970</xdr:rowOff>
    </xdr:to>
    <xdr:sp macro="" textlink="KPI!D7">
      <xdr:nvSpPr>
        <xdr:cNvPr id="11" name="Rectangle: Rounded Corners 10">
          <a:extLst>
            <a:ext uri="{FF2B5EF4-FFF2-40B4-BE49-F238E27FC236}">
              <a16:creationId xmlns:a16="http://schemas.microsoft.com/office/drawing/2014/main" id="{B5967763-04A4-9FEC-4DEE-67D747DB1749}"/>
            </a:ext>
          </a:extLst>
        </xdr:cNvPr>
        <xdr:cNvSpPr/>
      </xdr:nvSpPr>
      <xdr:spPr>
        <a:xfrm>
          <a:off x="5379720" y="1741170"/>
          <a:ext cx="922020" cy="411480"/>
        </a:xfrm>
        <a:prstGeom prst="roundRect">
          <a:avLst/>
        </a:prstGeom>
        <a:no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CD3BB0A1-8797-435F-974B-E9F5F1C408C3}" type="TxLink">
            <a:rPr lang="en-US" sz="1200" b="0" i="0" u="none" strike="noStrike">
              <a:solidFill>
                <a:srgbClr val="000000"/>
              </a:solidFill>
              <a:latin typeface="Bookman Old Style" panose="02050604050505020204" pitchFamily="18" charset="0"/>
              <a:ea typeface="Calibri"/>
              <a:cs typeface="Calibri"/>
            </a:rPr>
            <a:pPr marL="0" indent="0" algn="l"/>
            <a:t>1689.2%</a:t>
          </a:fld>
          <a:endParaRPr lang="en-IN" sz="1200" b="0" i="0" u="none" strike="noStrike">
            <a:solidFill>
              <a:srgbClr val="000000"/>
            </a:solidFill>
            <a:latin typeface="Bookman Old Style" panose="02050604050505020204" pitchFamily="18" charset="0"/>
            <a:ea typeface="Calibri"/>
            <a:cs typeface="Calibri"/>
          </a:endParaRPr>
        </a:p>
      </xdr:txBody>
    </xdr:sp>
    <xdr:clientData/>
  </xdr:twoCellAnchor>
  <xdr:twoCellAnchor>
    <xdr:from>
      <xdr:col>12</xdr:col>
      <xdr:colOff>228600</xdr:colOff>
      <xdr:row>9</xdr:row>
      <xdr:rowOff>95250</xdr:rowOff>
    </xdr:from>
    <xdr:to>
      <xdr:col>14</xdr:col>
      <xdr:colOff>228600</xdr:colOff>
      <xdr:row>11</xdr:row>
      <xdr:rowOff>140970</xdr:rowOff>
    </xdr:to>
    <xdr:sp macro="" textlink="KPI!D11">
      <xdr:nvSpPr>
        <xdr:cNvPr id="12" name="Rectangle: Rounded Corners 11">
          <a:extLst>
            <a:ext uri="{FF2B5EF4-FFF2-40B4-BE49-F238E27FC236}">
              <a16:creationId xmlns:a16="http://schemas.microsoft.com/office/drawing/2014/main" id="{100DC417-9666-5CEB-5635-D7F4A3A43B29}"/>
            </a:ext>
          </a:extLst>
        </xdr:cNvPr>
        <xdr:cNvSpPr/>
      </xdr:nvSpPr>
      <xdr:spPr>
        <a:xfrm>
          <a:off x="7543800" y="1741170"/>
          <a:ext cx="1219200" cy="411480"/>
        </a:xfrm>
        <a:prstGeom prst="roundRect">
          <a:avLst/>
        </a:prstGeom>
        <a:no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66AEE6F3-1D15-41D0-B5DC-8665C3121E01}" type="TxLink">
            <a:rPr lang="en-US" sz="1200" b="0" i="0" u="none" strike="noStrike">
              <a:solidFill>
                <a:srgbClr val="000000"/>
              </a:solidFill>
              <a:latin typeface="Bookman Old Style" panose="02050604050505020204" pitchFamily="18" charset="0"/>
              <a:ea typeface="Calibri"/>
              <a:cs typeface="Calibri"/>
            </a:rPr>
            <a:pPr marL="0" indent="0" algn="l"/>
            <a:t>₹ 3,77,122.9</a:t>
          </a:fld>
          <a:endParaRPr lang="en-IN" sz="1200" b="0" i="0" u="none" strike="noStrike">
            <a:solidFill>
              <a:srgbClr val="000000"/>
            </a:solidFill>
            <a:latin typeface="Bookman Old Style" panose="02050604050505020204" pitchFamily="18" charset="0"/>
            <a:ea typeface="Calibri"/>
            <a:cs typeface="Calibri"/>
          </a:endParaRPr>
        </a:p>
      </xdr:txBody>
    </xdr:sp>
    <xdr:clientData/>
  </xdr:twoCellAnchor>
  <xdr:twoCellAnchor>
    <xdr:from>
      <xdr:col>1</xdr:col>
      <xdr:colOff>312420</xdr:colOff>
      <xdr:row>7</xdr:row>
      <xdr:rowOff>137160</xdr:rowOff>
    </xdr:from>
    <xdr:to>
      <xdr:col>4</xdr:col>
      <xdr:colOff>594360</xdr:colOff>
      <xdr:row>9</xdr:row>
      <xdr:rowOff>91440</xdr:rowOff>
    </xdr:to>
    <xdr:sp macro="" textlink="">
      <xdr:nvSpPr>
        <xdr:cNvPr id="13" name="Rectangle: Rounded Corners 12">
          <a:extLst>
            <a:ext uri="{FF2B5EF4-FFF2-40B4-BE49-F238E27FC236}">
              <a16:creationId xmlns:a16="http://schemas.microsoft.com/office/drawing/2014/main" id="{5DA3F99E-8FF5-FC4F-3148-193E6955FF6B}"/>
            </a:ext>
          </a:extLst>
        </xdr:cNvPr>
        <xdr:cNvSpPr/>
      </xdr:nvSpPr>
      <xdr:spPr>
        <a:xfrm>
          <a:off x="922020" y="1417320"/>
          <a:ext cx="2110740" cy="3200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latin typeface="Bookman Old Style" panose="02050604050505020204" pitchFamily="18" charset="0"/>
            </a:rPr>
            <a:t>Total Order</a:t>
          </a:r>
        </a:p>
      </xdr:txBody>
    </xdr:sp>
    <xdr:clientData/>
  </xdr:twoCellAnchor>
  <xdr:twoCellAnchor>
    <xdr:from>
      <xdr:col>5</xdr:col>
      <xdr:colOff>60960</xdr:colOff>
      <xdr:row>7</xdr:row>
      <xdr:rowOff>129539</xdr:rowOff>
    </xdr:from>
    <xdr:to>
      <xdr:col>8</xdr:col>
      <xdr:colOff>342900</xdr:colOff>
      <xdr:row>9</xdr:row>
      <xdr:rowOff>78000</xdr:rowOff>
    </xdr:to>
    <xdr:sp macro="" textlink="">
      <xdr:nvSpPr>
        <xdr:cNvPr id="14" name="Rectangle: Rounded Corners 13">
          <a:extLst>
            <a:ext uri="{FF2B5EF4-FFF2-40B4-BE49-F238E27FC236}">
              <a16:creationId xmlns:a16="http://schemas.microsoft.com/office/drawing/2014/main" id="{14CB1A8D-98B6-01DB-17A2-E54404AD7E25}"/>
            </a:ext>
          </a:extLst>
        </xdr:cNvPr>
        <xdr:cNvSpPr/>
      </xdr:nvSpPr>
      <xdr:spPr>
        <a:xfrm>
          <a:off x="3108960" y="1409699"/>
          <a:ext cx="2110740" cy="31422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latin typeface="Bookman Old Style" panose="02050604050505020204" pitchFamily="18" charset="0"/>
            </a:rPr>
            <a:t>Total Net Revenue</a:t>
          </a:r>
        </a:p>
      </xdr:txBody>
    </xdr:sp>
    <xdr:clientData/>
  </xdr:twoCellAnchor>
  <xdr:twoCellAnchor>
    <xdr:from>
      <xdr:col>8</xdr:col>
      <xdr:colOff>411480</xdr:colOff>
      <xdr:row>7</xdr:row>
      <xdr:rowOff>129539</xdr:rowOff>
    </xdr:from>
    <xdr:to>
      <xdr:col>12</xdr:col>
      <xdr:colOff>83820</xdr:colOff>
      <xdr:row>9</xdr:row>
      <xdr:rowOff>78000</xdr:rowOff>
    </xdr:to>
    <xdr:sp macro="" textlink="">
      <xdr:nvSpPr>
        <xdr:cNvPr id="15" name="Rectangle: Rounded Corners 14">
          <a:extLst>
            <a:ext uri="{FF2B5EF4-FFF2-40B4-BE49-F238E27FC236}">
              <a16:creationId xmlns:a16="http://schemas.microsoft.com/office/drawing/2014/main" id="{18BE4466-B0BF-85F7-8206-9F5F340699D2}"/>
            </a:ext>
          </a:extLst>
        </xdr:cNvPr>
        <xdr:cNvSpPr/>
      </xdr:nvSpPr>
      <xdr:spPr>
        <a:xfrm>
          <a:off x="5288280" y="1409699"/>
          <a:ext cx="2110740" cy="31422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latin typeface="Bookman Old Style" panose="02050604050505020204" pitchFamily="18" charset="0"/>
            </a:rPr>
            <a:t>Average Profit Margin</a:t>
          </a:r>
        </a:p>
      </xdr:txBody>
    </xdr:sp>
    <xdr:clientData/>
  </xdr:twoCellAnchor>
  <xdr:twoCellAnchor>
    <xdr:from>
      <xdr:col>12</xdr:col>
      <xdr:colOff>144780</xdr:colOff>
      <xdr:row>7</xdr:row>
      <xdr:rowOff>137159</xdr:rowOff>
    </xdr:from>
    <xdr:to>
      <xdr:col>15</xdr:col>
      <xdr:colOff>426720</xdr:colOff>
      <xdr:row>9</xdr:row>
      <xdr:rowOff>85620</xdr:rowOff>
    </xdr:to>
    <xdr:sp macro="" textlink="">
      <xdr:nvSpPr>
        <xdr:cNvPr id="16" name="Rectangle: Rounded Corners 15">
          <a:extLst>
            <a:ext uri="{FF2B5EF4-FFF2-40B4-BE49-F238E27FC236}">
              <a16:creationId xmlns:a16="http://schemas.microsoft.com/office/drawing/2014/main" id="{72D0C145-47C7-42DA-2758-80D845651484}"/>
            </a:ext>
          </a:extLst>
        </xdr:cNvPr>
        <xdr:cNvSpPr/>
      </xdr:nvSpPr>
      <xdr:spPr>
        <a:xfrm>
          <a:off x="7459980" y="1417319"/>
          <a:ext cx="2110740" cy="31422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latin typeface="Bookman Old Style" panose="02050604050505020204" pitchFamily="18" charset="0"/>
            </a:rPr>
            <a:t>Total Shipping Cost</a:t>
          </a:r>
        </a:p>
      </xdr:txBody>
    </xdr:sp>
    <xdr:clientData/>
  </xdr:twoCellAnchor>
  <xdr:twoCellAnchor>
    <xdr:from>
      <xdr:col>1</xdr:col>
      <xdr:colOff>297180</xdr:colOff>
      <xdr:row>13</xdr:row>
      <xdr:rowOff>175260</xdr:rowOff>
    </xdr:from>
    <xdr:to>
      <xdr:col>8</xdr:col>
      <xdr:colOff>251460</xdr:colOff>
      <xdr:row>29</xdr:row>
      <xdr:rowOff>160020</xdr:rowOff>
    </xdr:to>
    <xdr:sp macro="" textlink="">
      <xdr:nvSpPr>
        <xdr:cNvPr id="17" name="Rectangle: Rounded Corners 16">
          <a:extLst>
            <a:ext uri="{FF2B5EF4-FFF2-40B4-BE49-F238E27FC236}">
              <a16:creationId xmlns:a16="http://schemas.microsoft.com/office/drawing/2014/main" id="{EBE218BE-96AD-25CD-602A-BF673A883458}"/>
            </a:ext>
          </a:extLst>
        </xdr:cNvPr>
        <xdr:cNvSpPr/>
      </xdr:nvSpPr>
      <xdr:spPr>
        <a:xfrm>
          <a:off x="906780" y="2581003"/>
          <a:ext cx="4221480" cy="2945674"/>
        </a:xfrm>
        <a:prstGeom prst="roundRect">
          <a:avLst>
            <a:gd name="adj" fmla="val 9337"/>
          </a:avLst>
        </a:prstGeom>
        <a:solidFill>
          <a:schemeClr val="accent5">
            <a:lumMod val="60000"/>
            <a:lumOff val="40000"/>
          </a:schemeClr>
        </a:solidFill>
        <a:ln>
          <a:no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IN" sz="2000" b="1">
            <a:solidFill>
              <a:schemeClr val="tx1"/>
            </a:solidFill>
            <a:latin typeface="Bookman Old Style" panose="02050604050505020204" pitchFamily="18" charset="0"/>
            <a:ea typeface="+mn-ea"/>
            <a:cs typeface="+mn-cs"/>
          </a:endParaRPr>
        </a:p>
      </xdr:txBody>
    </xdr:sp>
    <xdr:clientData/>
  </xdr:twoCellAnchor>
  <xdr:twoCellAnchor>
    <xdr:from>
      <xdr:col>8</xdr:col>
      <xdr:colOff>373380</xdr:colOff>
      <xdr:row>13</xdr:row>
      <xdr:rowOff>175260</xdr:rowOff>
    </xdr:from>
    <xdr:to>
      <xdr:col>15</xdr:col>
      <xdr:colOff>327660</xdr:colOff>
      <xdr:row>29</xdr:row>
      <xdr:rowOff>160020</xdr:rowOff>
    </xdr:to>
    <xdr:sp macro="" textlink="">
      <xdr:nvSpPr>
        <xdr:cNvPr id="18" name="Rectangle: Rounded Corners 17">
          <a:extLst>
            <a:ext uri="{FF2B5EF4-FFF2-40B4-BE49-F238E27FC236}">
              <a16:creationId xmlns:a16="http://schemas.microsoft.com/office/drawing/2014/main" id="{AADD8C40-A8DA-A517-E504-431002111FE0}"/>
            </a:ext>
          </a:extLst>
        </xdr:cNvPr>
        <xdr:cNvSpPr/>
      </xdr:nvSpPr>
      <xdr:spPr>
        <a:xfrm>
          <a:off x="5250180" y="2581003"/>
          <a:ext cx="4221480" cy="2945674"/>
        </a:xfrm>
        <a:prstGeom prst="roundRect">
          <a:avLst>
            <a:gd name="adj" fmla="val 9599"/>
          </a:avLst>
        </a:prstGeom>
        <a:solidFill>
          <a:schemeClr val="accent5">
            <a:lumMod val="60000"/>
            <a:lumOff val="40000"/>
          </a:schemeClr>
        </a:solidFill>
        <a:ln>
          <a:no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IN" sz="2000" b="1">
            <a:solidFill>
              <a:schemeClr val="tx1"/>
            </a:solidFill>
            <a:latin typeface="Bookman Old Style" panose="02050604050505020204" pitchFamily="18" charset="0"/>
            <a:ea typeface="+mn-ea"/>
            <a:cs typeface="+mn-cs"/>
          </a:endParaRPr>
        </a:p>
      </xdr:txBody>
    </xdr:sp>
    <xdr:clientData/>
  </xdr:twoCellAnchor>
  <xdr:twoCellAnchor>
    <xdr:from>
      <xdr:col>1</xdr:col>
      <xdr:colOff>297180</xdr:colOff>
      <xdr:row>31</xdr:row>
      <xdr:rowOff>131718</xdr:rowOff>
    </xdr:from>
    <xdr:to>
      <xdr:col>8</xdr:col>
      <xdr:colOff>251460</xdr:colOff>
      <xdr:row>47</xdr:row>
      <xdr:rowOff>116477</xdr:rowOff>
    </xdr:to>
    <xdr:sp macro="" textlink="">
      <xdr:nvSpPr>
        <xdr:cNvPr id="19" name="Rectangle: Rounded Corners 18">
          <a:extLst>
            <a:ext uri="{FF2B5EF4-FFF2-40B4-BE49-F238E27FC236}">
              <a16:creationId xmlns:a16="http://schemas.microsoft.com/office/drawing/2014/main" id="{D025360E-C770-5B0B-58E4-804D32068C22}"/>
            </a:ext>
          </a:extLst>
        </xdr:cNvPr>
        <xdr:cNvSpPr/>
      </xdr:nvSpPr>
      <xdr:spPr>
        <a:xfrm>
          <a:off x="906780" y="5868489"/>
          <a:ext cx="4221480" cy="2945674"/>
        </a:xfrm>
        <a:prstGeom prst="roundRect">
          <a:avLst>
            <a:gd name="adj" fmla="val 9337"/>
          </a:avLst>
        </a:prstGeom>
        <a:solidFill>
          <a:schemeClr val="accent5">
            <a:lumMod val="60000"/>
            <a:lumOff val="40000"/>
          </a:schemeClr>
        </a:solid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IN" sz="2000" b="1">
            <a:solidFill>
              <a:schemeClr val="tx1"/>
            </a:solidFill>
            <a:latin typeface="Bookman Old Style" panose="02050604050505020204" pitchFamily="18" charset="0"/>
            <a:ea typeface="+mn-ea"/>
            <a:cs typeface="+mn-cs"/>
          </a:endParaRPr>
        </a:p>
      </xdr:txBody>
    </xdr:sp>
    <xdr:clientData/>
  </xdr:twoCellAnchor>
  <xdr:twoCellAnchor>
    <xdr:from>
      <xdr:col>8</xdr:col>
      <xdr:colOff>373380</xdr:colOff>
      <xdr:row>31</xdr:row>
      <xdr:rowOff>131718</xdr:rowOff>
    </xdr:from>
    <xdr:to>
      <xdr:col>15</xdr:col>
      <xdr:colOff>327660</xdr:colOff>
      <xdr:row>47</xdr:row>
      <xdr:rowOff>116477</xdr:rowOff>
    </xdr:to>
    <xdr:sp macro="" textlink="">
      <xdr:nvSpPr>
        <xdr:cNvPr id="20" name="Rectangle: Rounded Corners 19">
          <a:extLst>
            <a:ext uri="{FF2B5EF4-FFF2-40B4-BE49-F238E27FC236}">
              <a16:creationId xmlns:a16="http://schemas.microsoft.com/office/drawing/2014/main" id="{F2C9514A-E331-8182-D939-9407071A976C}"/>
            </a:ext>
          </a:extLst>
        </xdr:cNvPr>
        <xdr:cNvSpPr/>
      </xdr:nvSpPr>
      <xdr:spPr>
        <a:xfrm>
          <a:off x="5250180" y="5868489"/>
          <a:ext cx="4221480" cy="2945674"/>
        </a:xfrm>
        <a:prstGeom prst="roundRect">
          <a:avLst>
            <a:gd name="adj" fmla="val 9599"/>
          </a:avLst>
        </a:prstGeom>
        <a:solidFill>
          <a:schemeClr val="accent5">
            <a:lumMod val="60000"/>
            <a:lumOff val="40000"/>
          </a:schemeClr>
        </a:solid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IN" sz="2000" b="1">
            <a:solidFill>
              <a:schemeClr val="tx1"/>
            </a:solidFill>
            <a:latin typeface="Bookman Old Style" panose="02050604050505020204" pitchFamily="18" charset="0"/>
            <a:ea typeface="+mn-ea"/>
            <a:cs typeface="+mn-cs"/>
          </a:endParaRPr>
        </a:p>
      </xdr:txBody>
    </xdr:sp>
    <xdr:clientData/>
  </xdr:twoCellAnchor>
  <xdr:twoCellAnchor>
    <xdr:from>
      <xdr:col>1</xdr:col>
      <xdr:colOff>370114</xdr:colOff>
      <xdr:row>17</xdr:row>
      <xdr:rowOff>87087</xdr:rowOff>
    </xdr:from>
    <xdr:to>
      <xdr:col>8</xdr:col>
      <xdr:colOff>185057</xdr:colOff>
      <xdr:row>29</xdr:row>
      <xdr:rowOff>125185</xdr:rowOff>
    </xdr:to>
    <xdr:graphicFrame macro="">
      <xdr:nvGraphicFramePr>
        <xdr:cNvPr id="21" name="Chart 20">
          <a:extLst>
            <a:ext uri="{FF2B5EF4-FFF2-40B4-BE49-F238E27FC236}">
              <a16:creationId xmlns:a16="http://schemas.microsoft.com/office/drawing/2014/main" id="{B9202076-95D8-42BB-9303-CA96CD58B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435428</xdr:colOff>
      <xdr:row>17</xdr:row>
      <xdr:rowOff>108858</xdr:rowOff>
    </xdr:from>
    <xdr:to>
      <xdr:col>15</xdr:col>
      <xdr:colOff>239485</xdr:colOff>
      <xdr:row>29</xdr:row>
      <xdr:rowOff>65314</xdr:rowOff>
    </xdr:to>
    <xdr:graphicFrame macro="">
      <xdr:nvGraphicFramePr>
        <xdr:cNvPr id="22" name="Chart 21">
          <a:extLst>
            <a:ext uri="{FF2B5EF4-FFF2-40B4-BE49-F238E27FC236}">
              <a16:creationId xmlns:a16="http://schemas.microsoft.com/office/drawing/2014/main" id="{C5A24631-30D1-4E59-8E4D-A709AE4E0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326571</xdr:colOff>
      <xdr:row>35</xdr:row>
      <xdr:rowOff>32657</xdr:rowOff>
    </xdr:from>
    <xdr:to>
      <xdr:col>8</xdr:col>
      <xdr:colOff>141514</xdr:colOff>
      <xdr:row>47</xdr:row>
      <xdr:rowOff>66403</xdr:rowOff>
    </xdr:to>
    <xdr:graphicFrame macro="">
      <xdr:nvGraphicFramePr>
        <xdr:cNvPr id="23" name="Chart 22">
          <a:extLst>
            <a:ext uri="{FF2B5EF4-FFF2-40B4-BE49-F238E27FC236}">
              <a16:creationId xmlns:a16="http://schemas.microsoft.com/office/drawing/2014/main" id="{BD6B0FD8-98DA-45E6-89C8-780346E95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373380</xdr:colOff>
      <xdr:row>34</xdr:row>
      <xdr:rowOff>163286</xdr:rowOff>
    </xdr:from>
    <xdr:to>
      <xdr:col>15</xdr:col>
      <xdr:colOff>217714</xdr:colOff>
      <xdr:row>47</xdr:row>
      <xdr:rowOff>87085</xdr:rowOff>
    </xdr:to>
    <xdr:graphicFrame macro="">
      <xdr:nvGraphicFramePr>
        <xdr:cNvPr id="24" name="Chart 23">
          <a:extLst>
            <a:ext uri="{FF2B5EF4-FFF2-40B4-BE49-F238E27FC236}">
              <a16:creationId xmlns:a16="http://schemas.microsoft.com/office/drawing/2014/main" id="{2C84481C-AF54-4533-91C3-A1F71E993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522514</xdr:colOff>
      <xdr:row>31</xdr:row>
      <xdr:rowOff>119742</xdr:rowOff>
    </xdr:from>
    <xdr:to>
      <xdr:col>22</xdr:col>
      <xdr:colOff>315686</xdr:colOff>
      <xdr:row>47</xdr:row>
      <xdr:rowOff>152398</xdr:rowOff>
    </xdr:to>
    <xdr:sp macro="" textlink="">
      <xdr:nvSpPr>
        <xdr:cNvPr id="28" name="Rectangle: Rounded Corners 27">
          <a:extLst>
            <a:ext uri="{FF2B5EF4-FFF2-40B4-BE49-F238E27FC236}">
              <a16:creationId xmlns:a16="http://schemas.microsoft.com/office/drawing/2014/main" id="{A64BBBAB-98D0-E4CE-0DEB-D6B8B12FD4F0}"/>
            </a:ext>
          </a:extLst>
        </xdr:cNvPr>
        <xdr:cNvSpPr/>
      </xdr:nvSpPr>
      <xdr:spPr>
        <a:xfrm>
          <a:off x="9666514" y="5856513"/>
          <a:ext cx="4060372" cy="2993571"/>
        </a:xfrm>
        <a:prstGeom prst="roundRect">
          <a:avLst>
            <a:gd name="adj" fmla="val 10985"/>
          </a:avLst>
        </a:prstGeom>
        <a:solidFill>
          <a:schemeClr val="accent5">
            <a:lumMod val="60000"/>
            <a:lumOff val="40000"/>
          </a:schemeClr>
        </a:solidFill>
        <a:ln>
          <a:no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IN" sz="2000" b="1">
            <a:solidFill>
              <a:schemeClr val="tx1"/>
            </a:solidFill>
            <a:latin typeface="Bookman Old Style" panose="02050604050505020204" pitchFamily="18" charset="0"/>
            <a:ea typeface="+mn-ea"/>
            <a:cs typeface="+mn-cs"/>
          </a:endParaRPr>
        </a:p>
      </xdr:txBody>
    </xdr:sp>
    <xdr:clientData/>
  </xdr:twoCellAnchor>
  <xdr:twoCellAnchor>
    <xdr:from>
      <xdr:col>15</xdr:col>
      <xdr:colOff>489857</xdr:colOff>
      <xdr:row>7</xdr:row>
      <xdr:rowOff>97971</xdr:rowOff>
    </xdr:from>
    <xdr:to>
      <xdr:col>22</xdr:col>
      <xdr:colOff>348343</xdr:colOff>
      <xdr:row>30</xdr:row>
      <xdr:rowOff>0</xdr:rowOff>
    </xdr:to>
    <xdr:sp macro="" textlink="">
      <xdr:nvSpPr>
        <xdr:cNvPr id="31" name="Rectangle: Rounded Corners 30">
          <a:extLst>
            <a:ext uri="{FF2B5EF4-FFF2-40B4-BE49-F238E27FC236}">
              <a16:creationId xmlns:a16="http://schemas.microsoft.com/office/drawing/2014/main" id="{9B2DD11C-1D43-B390-6C20-DECC7D39E05F}"/>
            </a:ext>
          </a:extLst>
        </xdr:cNvPr>
        <xdr:cNvSpPr/>
      </xdr:nvSpPr>
      <xdr:spPr>
        <a:xfrm>
          <a:off x="9633857" y="1393371"/>
          <a:ext cx="4125686" cy="4158343"/>
        </a:xfrm>
        <a:prstGeom prst="roundRect">
          <a:avLst>
            <a:gd name="adj" fmla="val 6239"/>
          </a:avLst>
        </a:prstGeom>
        <a:solidFill>
          <a:schemeClr val="accent5">
            <a:lumMod val="60000"/>
            <a:lumOff val="40000"/>
          </a:schemeClr>
        </a:solidFill>
        <a:ln/>
      </xdr:spPr>
      <xdr:style>
        <a:lnRef idx="0">
          <a:schemeClr val="accent5"/>
        </a:lnRef>
        <a:fillRef idx="3">
          <a:schemeClr val="accent5"/>
        </a:fillRef>
        <a:effectRef idx="3">
          <a:schemeClr val="accent5"/>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endParaRPr lang="en-IN" sz="2000" b="1">
            <a:solidFill>
              <a:schemeClr val="tx1"/>
            </a:solidFill>
            <a:latin typeface="Bookman Old Style" panose="02050604050505020204" pitchFamily="18" charset="0"/>
            <a:ea typeface="+mn-ea"/>
            <a:cs typeface="+mn-cs"/>
          </a:endParaRPr>
        </a:p>
      </xdr:txBody>
    </xdr:sp>
    <xdr:clientData/>
  </xdr:twoCellAnchor>
  <xdr:twoCellAnchor editAs="oneCell">
    <xdr:from>
      <xdr:col>16</xdr:col>
      <xdr:colOff>65314</xdr:colOff>
      <xdr:row>8</xdr:row>
      <xdr:rowOff>97972</xdr:rowOff>
    </xdr:from>
    <xdr:to>
      <xdr:col>19</xdr:col>
      <xdr:colOff>65314</xdr:colOff>
      <xdr:row>17</xdr:row>
      <xdr:rowOff>119744</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FBB519F6-30D4-4E52-AC02-BD21A1E23AD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818914" y="1578429"/>
              <a:ext cx="1828800" cy="1687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250371</xdr:colOff>
      <xdr:row>15</xdr:row>
      <xdr:rowOff>10886</xdr:rowOff>
    </xdr:from>
    <xdr:to>
      <xdr:col>7</xdr:col>
      <xdr:colOff>261257</xdr:colOff>
      <xdr:row>16</xdr:row>
      <xdr:rowOff>163286</xdr:rowOff>
    </xdr:to>
    <xdr:sp macro="" textlink="">
      <xdr:nvSpPr>
        <xdr:cNvPr id="33" name="Rectangle: Rounded Corners 32">
          <a:extLst>
            <a:ext uri="{FF2B5EF4-FFF2-40B4-BE49-F238E27FC236}">
              <a16:creationId xmlns:a16="http://schemas.microsoft.com/office/drawing/2014/main" id="{8375AF2C-8BA3-4053-6268-190C3ECDEF4C}"/>
            </a:ext>
          </a:extLst>
        </xdr:cNvPr>
        <xdr:cNvSpPr/>
      </xdr:nvSpPr>
      <xdr:spPr>
        <a:xfrm>
          <a:off x="1469571" y="2786743"/>
          <a:ext cx="3058886" cy="3374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latin typeface="Book Antiqua" panose="02040602050305030304" pitchFamily="18" charset="0"/>
            </a:rPr>
            <a:t>Payment Performance</a:t>
          </a:r>
        </a:p>
      </xdr:txBody>
    </xdr:sp>
    <xdr:clientData/>
  </xdr:twoCellAnchor>
  <xdr:twoCellAnchor>
    <xdr:from>
      <xdr:col>9</xdr:col>
      <xdr:colOff>206828</xdr:colOff>
      <xdr:row>15</xdr:row>
      <xdr:rowOff>10886</xdr:rowOff>
    </xdr:from>
    <xdr:to>
      <xdr:col>14</xdr:col>
      <xdr:colOff>217714</xdr:colOff>
      <xdr:row>16</xdr:row>
      <xdr:rowOff>163286</xdr:rowOff>
    </xdr:to>
    <xdr:sp macro="" textlink="">
      <xdr:nvSpPr>
        <xdr:cNvPr id="34" name="Rectangle: Rounded Corners 33">
          <a:extLst>
            <a:ext uri="{FF2B5EF4-FFF2-40B4-BE49-F238E27FC236}">
              <a16:creationId xmlns:a16="http://schemas.microsoft.com/office/drawing/2014/main" id="{F22BD1CE-B71D-40DC-3AE8-8751290A14C6}"/>
            </a:ext>
          </a:extLst>
        </xdr:cNvPr>
        <xdr:cNvSpPr/>
      </xdr:nvSpPr>
      <xdr:spPr>
        <a:xfrm>
          <a:off x="5693228" y="2786743"/>
          <a:ext cx="3058886" cy="3374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latin typeface="Book Antiqua" panose="02040602050305030304" pitchFamily="18" charset="0"/>
            </a:rPr>
            <a:t>Monthly Net Revenue Trend</a:t>
          </a:r>
        </a:p>
      </xdr:txBody>
    </xdr:sp>
    <xdr:clientData/>
  </xdr:twoCellAnchor>
  <xdr:twoCellAnchor>
    <xdr:from>
      <xdr:col>2</xdr:col>
      <xdr:colOff>286295</xdr:colOff>
      <xdr:row>32</xdr:row>
      <xdr:rowOff>99060</xdr:rowOff>
    </xdr:from>
    <xdr:to>
      <xdr:col>7</xdr:col>
      <xdr:colOff>297181</xdr:colOff>
      <xdr:row>34</xdr:row>
      <xdr:rowOff>66403</xdr:rowOff>
    </xdr:to>
    <xdr:sp macro="" textlink="">
      <xdr:nvSpPr>
        <xdr:cNvPr id="39" name="Rectangle: Rounded Corners 38">
          <a:extLst>
            <a:ext uri="{FF2B5EF4-FFF2-40B4-BE49-F238E27FC236}">
              <a16:creationId xmlns:a16="http://schemas.microsoft.com/office/drawing/2014/main" id="{59DF3126-FE0F-4022-A536-9FBE08DCD005}"/>
            </a:ext>
          </a:extLst>
        </xdr:cNvPr>
        <xdr:cNvSpPr/>
      </xdr:nvSpPr>
      <xdr:spPr>
        <a:xfrm>
          <a:off x="1505495" y="6020889"/>
          <a:ext cx="3058886" cy="3374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latin typeface="Book Antiqua" panose="02040602050305030304" pitchFamily="18" charset="0"/>
            </a:rPr>
            <a:t>Sales by Category</a:t>
          </a:r>
        </a:p>
      </xdr:txBody>
    </xdr:sp>
    <xdr:clientData/>
  </xdr:twoCellAnchor>
  <xdr:twoCellAnchor>
    <xdr:from>
      <xdr:col>9</xdr:col>
      <xdr:colOff>210095</xdr:colOff>
      <xdr:row>32</xdr:row>
      <xdr:rowOff>99060</xdr:rowOff>
    </xdr:from>
    <xdr:to>
      <xdr:col>14</xdr:col>
      <xdr:colOff>220981</xdr:colOff>
      <xdr:row>34</xdr:row>
      <xdr:rowOff>66403</xdr:rowOff>
    </xdr:to>
    <xdr:sp macro="" textlink="">
      <xdr:nvSpPr>
        <xdr:cNvPr id="40" name="Rectangle: Rounded Corners 39">
          <a:extLst>
            <a:ext uri="{FF2B5EF4-FFF2-40B4-BE49-F238E27FC236}">
              <a16:creationId xmlns:a16="http://schemas.microsoft.com/office/drawing/2014/main" id="{20602688-0622-006D-FBF0-81CAA7B83CD5}"/>
            </a:ext>
          </a:extLst>
        </xdr:cNvPr>
        <xdr:cNvSpPr/>
      </xdr:nvSpPr>
      <xdr:spPr>
        <a:xfrm>
          <a:off x="5696495" y="6020889"/>
          <a:ext cx="3058886" cy="3374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latin typeface="Book Antiqua" panose="02040602050305030304" pitchFamily="18" charset="0"/>
            </a:rPr>
            <a:t>Average Profit by Region</a:t>
          </a:r>
        </a:p>
      </xdr:txBody>
    </xdr:sp>
    <xdr:clientData/>
  </xdr:twoCellAnchor>
  <xdr:twoCellAnchor>
    <xdr:from>
      <xdr:col>16</xdr:col>
      <xdr:colOff>435428</xdr:colOff>
      <xdr:row>32</xdr:row>
      <xdr:rowOff>54427</xdr:rowOff>
    </xdr:from>
    <xdr:to>
      <xdr:col>21</xdr:col>
      <xdr:colOff>446314</xdr:colOff>
      <xdr:row>34</xdr:row>
      <xdr:rowOff>21770</xdr:rowOff>
    </xdr:to>
    <xdr:sp macro="" textlink="">
      <xdr:nvSpPr>
        <xdr:cNvPr id="41" name="Rectangle: Rounded Corners 40">
          <a:extLst>
            <a:ext uri="{FF2B5EF4-FFF2-40B4-BE49-F238E27FC236}">
              <a16:creationId xmlns:a16="http://schemas.microsoft.com/office/drawing/2014/main" id="{A057E323-B60F-491E-A586-24CC9BB77B4D}"/>
            </a:ext>
          </a:extLst>
        </xdr:cNvPr>
        <xdr:cNvSpPr/>
      </xdr:nvSpPr>
      <xdr:spPr>
        <a:xfrm>
          <a:off x="10189028" y="5976256"/>
          <a:ext cx="3058886" cy="3374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rPr>
            <a:t>State</a:t>
          </a:r>
          <a:endParaRPr lang="en-IN" sz="1600">
            <a:solidFill>
              <a:schemeClr val="tx1"/>
            </a:solidFill>
            <a:latin typeface="Book Antiqua" panose="02040602050305030304" pitchFamily="18" charset="0"/>
          </a:endParaRPr>
        </a:p>
      </xdr:txBody>
    </xdr:sp>
    <xdr:clientData/>
  </xdr:twoCellAnchor>
  <xdr:twoCellAnchor>
    <xdr:from>
      <xdr:col>16</xdr:col>
      <xdr:colOff>0</xdr:colOff>
      <xdr:row>34</xdr:row>
      <xdr:rowOff>65313</xdr:rowOff>
    </xdr:from>
    <xdr:to>
      <xdr:col>22</xdr:col>
      <xdr:colOff>228599</xdr:colOff>
      <xdr:row>47</xdr:row>
      <xdr:rowOff>65314</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4FBCC7DD-3AB8-4413-953C-D3DA84D015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753600" y="6283233"/>
              <a:ext cx="3886199" cy="23774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185057</xdr:colOff>
      <xdr:row>8</xdr:row>
      <xdr:rowOff>119742</xdr:rowOff>
    </xdr:from>
    <xdr:to>
      <xdr:col>22</xdr:col>
      <xdr:colOff>185057</xdr:colOff>
      <xdr:row>15</xdr:row>
      <xdr:rowOff>13061</xdr:rowOff>
    </xdr:to>
    <mc:AlternateContent xmlns:mc="http://schemas.openxmlformats.org/markup-compatibility/2006" xmlns:a14="http://schemas.microsoft.com/office/drawing/2010/main">
      <mc:Choice Requires="a14">
        <xdr:graphicFrame macro="">
          <xdr:nvGraphicFramePr>
            <xdr:cNvPr id="25" name="Segment 1">
              <a:extLst>
                <a:ext uri="{FF2B5EF4-FFF2-40B4-BE49-F238E27FC236}">
                  <a16:creationId xmlns:a16="http://schemas.microsoft.com/office/drawing/2014/main" id="{F3423194-3C56-4BAA-BDF2-C0F1DEFD1B8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767457" y="1600199"/>
              <a:ext cx="1828800"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65314</xdr:colOff>
      <xdr:row>18</xdr:row>
      <xdr:rowOff>0</xdr:rowOff>
    </xdr:from>
    <xdr:to>
      <xdr:col>19</xdr:col>
      <xdr:colOff>65314</xdr:colOff>
      <xdr:row>29</xdr:row>
      <xdr:rowOff>43543</xdr:rowOff>
    </xdr:to>
    <mc:AlternateContent xmlns:mc="http://schemas.openxmlformats.org/markup-compatibility/2006" xmlns:a14="http://schemas.microsoft.com/office/drawing/2010/main">
      <mc:Choice Requires="a14">
        <xdr:graphicFrame macro="">
          <xdr:nvGraphicFramePr>
            <xdr:cNvPr id="26" name="State 1">
              <a:extLst>
                <a:ext uri="{FF2B5EF4-FFF2-40B4-BE49-F238E27FC236}">
                  <a16:creationId xmlns:a16="http://schemas.microsoft.com/office/drawing/2014/main" id="{B3123B80-91F7-4198-AC91-6F9B288B6AF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9818914" y="3331029"/>
              <a:ext cx="1828800" cy="2079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163285</xdr:colOff>
      <xdr:row>15</xdr:row>
      <xdr:rowOff>108856</xdr:rowOff>
    </xdr:from>
    <xdr:to>
      <xdr:col>22</xdr:col>
      <xdr:colOff>195943</xdr:colOff>
      <xdr:row>29</xdr:row>
      <xdr:rowOff>10885</xdr:rowOff>
    </xdr:to>
    <mc:AlternateContent xmlns:mc="http://schemas.openxmlformats.org/markup-compatibility/2006">
      <mc:Choice xmlns:a14="http://schemas.microsoft.com/office/drawing/2010/main" Requires="a14">
        <xdr:graphicFrame macro="">
          <xdr:nvGraphicFramePr>
            <xdr:cNvPr id="27" name="Payment_Mode 1">
              <a:extLst>
                <a:ext uri="{FF2B5EF4-FFF2-40B4-BE49-F238E27FC236}">
                  <a16:creationId xmlns:a16="http://schemas.microsoft.com/office/drawing/2014/main" id="{3C9F9EF6-4626-4418-88E7-7CB753665943}"/>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11745685" y="2884713"/>
              <a:ext cx="1861458" cy="2492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217714</xdr:colOff>
      <xdr:row>0</xdr:row>
      <xdr:rowOff>97971</xdr:rowOff>
    </xdr:from>
    <xdr:to>
      <xdr:col>22</xdr:col>
      <xdr:colOff>348343</xdr:colOff>
      <xdr:row>7</xdr:row>
      <xdr:rowOff>65314</xdr:rowOff>
    </xdr:to>
    <xdr:pic>
      <xdr:nvPicPr>
        <xdr:cNvPr id="35" name="Picture 34">
          <a:extLst>
            <a:ext uri="{FF2B5EF4-FFF2-40B4-BE49-F238E27FC236}">
              <a16:creationId xmlns:a16="http://schemas.microsoft.com/office/drawing/2014/main" id="{238CE205-D50C-BCF1-3551-41B3C43F080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800114" y="97971"/>
          <a:ext cx="1959429" cy="12627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259080</xdr:colOff>
      <xdr:row>7</xdr:row>
      <xdr:rowOff>83820</xdr:rowOff>
    </xdr:from>
    <xdr:to>
      <xdr:col>10</xdr:col>
      <xdr:colOff>411480</xdr:colOff>
      <xdr:row>22</xdr:row>
      <xdr:rowOff>83820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5B669450-E964-B055-5987-08823C4437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25440" y="1363980"/>
              <a:ext cx="25908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220980</xdr:colOff>
      <xdr:row>3</xdr:row>
      <xdr:rowOff>152400</xdr:rowOff>
    </xdr:from>
    <xdr:to>
      <xdr:col>11</xdr:col>
      <xdr:colOff>525780</xdr:colOff>
      <xdr:row>18</xdr:row>
      <xdr:rowOff>152400</xdr:rowOff>
    </xdr:to>
    <xdr:graphicFrame macro="">
      <xdr:nvGraphicFramePr>
        <xdr:cNvPr id="2" name="Chart 1">
          <a:extLst>
            <a:ext uri="{FF2B5EF4-FFF2-40B4-BE49-F238E27FC236}">
              <a16:creationId xmlns:a16="http://schemas.microsoft.com/office/drawing/2014/main" id="{257D42BE-0BFA-99CF-8E29-453D22527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106680</xdr:colOff>
      <xdr:row>10</xdr:row>
      <xdr:rowOff>7620</xdr:rowOff>
    </xdr:from>
    <xdr:to>
      <xdr:col>10</xdr:col>
      <xdr:colOff>411480</xdr:colOff>
      <xdr:row>25</xdr:row>
      <xdr:rowOff>7620</xdr:rowOff>
    </xdr:to>
    <xdr:graphicFrame macro="">
      <xdr:nvGraphicFramePr>
        <xdr:cNvPr id="2" name="Chart 1">
          <a:extLst>
            <a:ext uri="{FF2B5EF4-FFF2-40B4-BE49-F238E27FC236}">
              <a16:creationId xmlns:a16="http://schemas.microsoft.com/office/drawing/2014/main" id="{DB6C660F-F37A-4015-B052-3B9AD01AA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457200</xdr:colOff>
      <xdr:row>1</xdr:row>
      <xdr:rowOff>22860</xdr:rowOff>
    </xdr:from>
    <xdr:to>
      <xdr:col>10</xdr:col>
      <xdr:colOff>152400</xdr:colOff>
      <xdr:row>16</xdr:row>
      <xdr:rowOff>22860</xdr:rowOff>
    </xdr:to>
    <xdr:graphicFrame macro="">
      <xdr:nvGraphicFramePr>
        <xdr:cNvPr id="2" name="Chart 1">
          <a:extLst>
            <a:ext uri="{FF2B5EF4-FFF2-40B4-BE49-F238E27FC236}">
              <a16:creationId xmlns:a16="http://schemas.microsoft.com/office/drawing/2014/main" id="{5A6B4942-6FE8-0A62-1C5C-B24DDD4D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510540</xdr:colOff>
      <xdr:row>0</xdr:row>
      <xdr:rowOff>53340</xdr:rowOff>
    </xdr:from>
    <xdr:to>
      <xdr:col>10</xdr:col>
      <xdr:colOff>205740</xdr:colOff>
      <xdr:row>15</xdr:row>
      <xdr:rowOff>53340</xdr:rowOff>
    </xdr:to>
    <xdr:graphicFrame macro="">
      <xdr:nvGraphicFramePr>
        <xdr:cNvPr id="2" name="Chart 1">
          <a:extLst>
            <a:ext uri="{FF2B5EF4-FFF2-40B4-BE49-F238E27FC236}">
              <a16:creationId xmlns:a16="http://schemas.microsoft.com/office/drawing/2014/main" id="{B70B4DFB-1BFB-3AB8-00BA-994CB514E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NGRI" refreshedDate="46256.730770486109" createdVersion="8" refreshedVersion="8" minRefreshableVersion="3" recordCount="100" xr:uid="{8C606E26-F1B2-406D-811B-5995217ECA2F}">
  <cacheSource type="worksheet">
    <worksheetSource name="Table1"/>
  </cacheSource>
  <cacheFields count="34">
    <cacheField name="Row ID" numFmtId="0">
      <sharedItems containsSemiMixedTypes="0" containsString="0" containsNumber="1" containsInteger="1" minValue="1" maxValue="100"/>
    </cacheField>
    <cacheField name="Order ID" numFmtId="0">
      <sharedItems/>
    </cacheField>
    <cacheField name="Order Date" numFmtId="164">
      <sharedItems containsSemiMixedTypes="0" containsNonDate="0" containsDate="1" containsString="0" minDate="2025-01-01T00:00:00" maxDate="2026-01-01T00:00:00"/>
    </cacheField>
    <cacheField name="Ship Date" numFmtId="164">
      <sharedItems containsSemiMixedTypes="0" containsNonDate="0" containsDate="1" containsString="0" minDate="2025-01-07T00:00:00" maxDate="2026-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ity" numFmtId="0">
      <sharedItems/>
    </cacheField>
    <cacheField name="State" numFmtId="0">
      <sharedItems count="7">
        <s v="Gujarat"/>
        <s v="Telangana"/>
        <s v="Maharashtra"/>
        <s v="Tamil Nadu"/>
        <s v="Karnataka"/>
        <s v="West Bengal"/>
        <s v="Delhi"/>
      </sharedItems>
    </cacheField>
    <cacheField name="Country" numFmtId="0">
      <sharedItems/>
    </cacheField>
    <cacheField name="Postal Code" numFmtId="0">
      <sharedItems containsSemiMixedTypes="0" containsString="0" containsNumber="1" containsInteger="1" minValue="401543" maxValue="794541"/>
    </cacheField>
    <cacheField name="Market" numFmtId="0">
      <sharedItems/>
    </cacheField>
    <cacheField name="Region" numFmtId="0">
      <sharedItems count="5">
        <s v="Central"/>
        <s v="North"/>
        <s v="East"/>
        <s v="West"/>
        <s v="South"/>
      </sharedItems>
    </cacheField>
    <cacheField name="Product ID" numFmtId="0">
      <sharedItems/>
    </cacheField>
    <cacheField name="Category_Encoded" numFmtId="0">
      <sharedItems/>
    </cacheField>
    <cacheField name="Product Name" numFmtId="0">
      <sharedItems/>
    </cacheField>
    <cacheField name="Unit_Price" numFmtId="4">
      <sharedItems containsSemiMixedTypes="0" containsString="0" containsNumber="1" minValue="587.55999999999995" maxValue="48534.05"/>
    </cacheField>
    <cacheField name="Quantity" numFmtId="0">
      <sharedItems containsSemiMixedTypes="0" containsString="0" containsNumber="1" containsInteger="1" minValue="1" maxValue="11"/>
    </cacheField>
    <cacheField name="Discount_Percentage" numFmtId="0">
      <sharedItems containsSemiMixedTypes="0" containsString="0" containsNumber="1" containsInteger="1" minValue="0" maxValue="25"/>
    </cacheField>
    <cacheField name="Profit" numFmtId="4">
      <sharedItems containsSemiMixedTypes="0" containsString="0" containsNumber="1" minValue="-9.68" maxValue="39.86"/>
    </cacheField>
    <cacheField name="Shipping Cost" numFmtId="4">
      <sharedItems containsSemiMixedTypes="0" containsString="0" containsNumber="1" minValue="29.86" maxValue="41691.120000000003"/>
    </cacheField>
    <cacheField name="Order Priority" numFmtId="0">
      <sharedItems/>
    </cacheField>
    <cacheField name="Year" numFmtId="0">
      <sharedItems containsSemiMixedTypes="0" containsString="0" containsNumber="1" containsInteger="1" minValue="2025" maxValue="2025"/>
    </cacheField>
    <cacheField name="Payment_Mode" numFmtId="0">
      <sharedItems count="8">
        <s v="Net Banking"/>
        <s v="BNPL"/>
        <s v="UPI"/>
        <s v="Credit Card"/>
        <s v="Debit Card"/>
        <s v="Cash/Cheque"/>
        <s v="Gift Cards"/>
        <s v="Mobile Wallets"/>
      </sharedItems>
    </cacheField>
    <cacheField name="Order Month" numFmtId="0">
      <sharedItems count="4">
        <s v="Jan"/>
        <s v="Feb"/>
        <s v="Mar"/>
        <s v="Apr"/>
      </sharedItems>
    </cacheField>
    <cacheField name="Order Day" numFmtId="0">
      <sharedItems/>
    </cacheField>
    <cacheField name="Sub_Category" numFmtId="0">
      <sharedItems count="12">
        <s v="MON"/>
        <s v="CH"/>
        <s v="MSW"/>
        <s v="TBL"/>
        <s v="ph "/>
        <s v=" bin"/>
        <s v="PHHH"/>
        <e v="#VALUE!"/>
        <s v="ART"/>
        <s v="CAB"/>
        <s v="BIN"/>
        <s v="PH"/>
      </sharedItems>
    </cacheField>
    <cacheField name="Customer Segment" numFmtId="0">
      <sharedItems/>
    </cacheField>
    <cacheField name="Gross Revenue" numFmtId="0">
      <sharedItems containsSemiMixedTypes="0" containsString="0" containsNumber="1" minValue="1103.8699999999999" maxValue="533874.55000000005"/>
    </cacheField>
    <cacheField name="Discount Amount" numFmtId="0">
      <sharedItems containsSemiMixedTypes="0" containsString="0" containsNumber="1" minValue="0" maxValue="133468.63750000001"/>
    </cacheField>
    <cacheField name="Net Revenue" numFmtId="0">
      <sharedItems containsSemiMixedTypes="0" containsString="0" containsNumber="1" minValue="938.28949999999986" maxValue="400405.91250000003"/>
    </cacheField>
    <cacheField name="Total Order Cost" numFmtId="4">
      <sharedItems containsSemiMixedTypes="0" containsString="0" containsNumber="1" minValue="970.3694999999999" maxValue="442097.03250000003"/>
    </cacheField>
    <cacheField name="Order Fulfillment Duration" numFmtId="0">
      <sharedItems containsSemiMixedTypes="0" containsString="0" containsNumber="1" containsInteger="1" minValue="1" maxValue="6"/>
    </cacheField>
  </cacheFields>
  <extLst>
    <ext xmlns:x14="http://schemas.microsoft.com/office/spreadsheetml/2009/9/main" uri="{725AE2AE-9491-48be-B2B4-4EB974FC3084}">
      <x14:pivotCacheDefinition pivotCacheId="2015063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CA-2025-771155"/>
    <d v="2025-01-01T00:00:00"/>
    <d v="2025-01-07T00:00:00"/>
    <s v="Same Day"/>
    <s v="AB-40370"/>
    <s v="Arjun Jain"/>
    <x v="0"/>
    <s v="Chennai"/>
    <x v="0"/>
    <s v="India"/>
    <n v="619799"/>
    <s v="APAC"/>
    <x v="0"/>
    <s v="TEC-7316"/>
    <s v="TEC::MON"/>
    <s v="Office Chair"/>
    <n v="6790.64"/>
    <n v="11"/>
    <n v="5"/>
    <n v="1.22"/>
    <n v="3516.98"/>
    <s v="High"/>
    <n v="2025"/>
    <x v="0"/>
    <x v="0"/>
    <s v="Sunday"/>
    <x v="0"/>
    <s v="Consumer"/>
    <n v="74697.040000000008"/>
    <n v="3734.8520000000008"/>
    <n v="70962.188000000009"/>
    <n v="74479.168000000005"/>
    <n v="6"/>
  </r>
  <r>
    <n v="2"/>
    <s v="CA-2023-465838"/>
    <d v="2025-01-04T00:00:00"/>
    <d v="2025-01-10T00:00:00"/>
    <s v="First Class"/>
    <s v="AB-65786"/>
    <s v="Aditya Mehta"/>
    <x v="1"/>
    <s v="Hyderabad"/>
    <x v="1"/>
    <s v="India"/>
    <n v="461477"/>
    <s v="APAC"/>
    <x v="1"/>
    <s v="TEC-7469"/>
    <s v="FUR::CH"/>
    <s v="Desk Organizer"/>
    <n v="613.86"/>
    <n v="11"/>
    <n v="5"/>
    <n v="1.19"/>
    <n v="201.34"/>
    <s v="High"/>
    <n v="2025"/>
    <x v="1"/>
    <x v="0"/>
    <s v="Monday"/>
    <x v="1"/>
    <s v="Corporate"/>
    <n v="6752.46"/>
    <n v="337.62300000000005"/>
    <n v="6414.8369999999995"/>
    <n v="6616.1769999999997"/>
    <n v="6"/>
  </r>
  <r>
    <n v="3"/>
    <s v="CA-2025-744167"/>
    <d v="2025-01-08T00:00:00"/>
    <d v="2025-01-14T00:00:00"/>
    <s v="Standard Class"/>
    <s v="AB-67814"/>
    <s v="Arjun Mehta"/>
    <x v="1"/>
    <s v="Chennai"/>
    <x v="2"/>
    <s v="India"/>
    <n v="706956"/>
    <s v="APAC"/>
    <x v="0"/>
    <s v="TEC-9915"/>
    <s v="TEC::MSW"/>
    <s v="Smart Phone"/>
    <n v="42579.67"/>
    <n v="2"/>
    <n v="25"/>
    <n v="16.850000000000001"/>
    <n v="5764.31"/>
    <s v="High"/>
    <n v="2025"/>
    <x v="2"/>
    <x v="0"/>
    <s v="Tuesday"/>
    <x v="2"/>
    <s v="Corporate"/>
    <n v="85159.34"/>
    <n v="21289.834999999999"/>
    <n v="63869.504999999997"/>
    <n v="69633.815000000002"/>
    <n v="6"/>
  </r>
  <r>
    <n v="4"/>
    <s v="CA-2023-832180"/>
    <d v="2025-01-12T00:00:00"/>
    <d v="2025-01-17T00:00:00"/>
    <s v="Second Class"/>
    <s v="AB-23131"/>
    <s v="Arjun Nair"/>
    <x v="1"/>
    <s v="Bengaluru"/>
    <x v="0"/>
    <s v="India"/>
    <n v="567281"/>
    <s v="APAC"/>
    <x v="2"/>
    <s v="TEC-1224"/>
    <s v="FUR::CH"/>
    <s v="Wireless Mouse"/>
    <n v="1241.25"/>
    <n v="9"/>
    <n v="10"/>
    <n v="19.649999999999999"/>
    <n v="688.38"/>
    <s v="Low"/>
    <n v="2025"/>
    <x v="3"/>
    <x v="0"/>
    <s v="Wednesday"/>
    <x v="1"/>
    <s v="Corporate"/>
    <n v="11171.25"/>
    <n v="1117.125"/>
    <n v="10054.125"/>
    <n v="10742.504999999999"/>
    <n v="5"/>
  </r>
  <r>
    <n v="5"/>
    <s v="CA-2025-237337"/>
    <d v="2025-01-15T00:00:00"/>
    <d v="2025-01-18T00:00:00"/>
    <s v="Same Day"/>
    <s v="AB-35485"/>
    <s v="Ishaan Gupta"/>
    <x v="0"/>
    <s v="Chennai"/>
    <x v="1"/>
    <s v="India"/>
    <n v="551223"/>
    <s v="APAC"/>
    <x v="3"/>
    <s v="TEC-5208"/>
    <s v="FUR::CH"/>
    <s v="Desk Organizer"/>
    <n v="587.55999999999995"/>
    <n v="10"/>
    <n v="20"/>
    <n v="19"/>
    <n v="195.34"/>
    <s v="Low"/>
    <n v="2025"/>
    <x v="4"/>
    <x v="0"/>
    <s v="Thursday"/>
    <x v="1"/>
    <s v="Consumer"/>
    <n v="5875.5999999999995"/>
    <n v="1175.1199999999999"/>
    <n v="4700.4799999999996"/>
    <n v="4895.82"/>
    <n v="3"/>
  </r>
  <r>
    <n v="6"/>
    <s v="CA-2025-621430"/>
    <d v="2025-01-19T00:00:00"/>
    <d v="2025-01-25T00:00:00"/>
    <s v="Standard Class"/>
    <s v="AB-52359"/>
    <s v="Rohan Mehta"/>
    <x v="2"/>
    <s v="Delhi"/>
    <x v="3"/>
    <s v="India"/>
    <n v="471181"/>
    <s v="APAC"/>
    <x v="2"/>
    <s v="TEC-7283"/>
    <s v="FUR::TBL"/>
    <s v="Desk Organizer"/>
    <n v="598.53"/>
    <n v="2"/>
    <n v="20"/>
    <n v="-5.43"/>
    <n v="29.86"/>
    <s v="Critical"/>
    <n v="2025"/>
    <x v="5"/>
    <x v="0"/>
    <s v="Friday"/>
    <x v="3"/>
    <s v="Home Office"/>
    <n v="1197.06"/>
    <n v="239.41200000000001"/>
    <n v="957.64799999999991"/>
    <n v="987.50799999999992"/>
    <n v="6"/>
  </r>
  <r>
    <n v="7"/>
    <s v="CA-2025-187498"/>
    <d v="2025-01-23T00:00:00"/>
    <d v="2025-01-26T00:00:00"/>
    <s v="First Class"/>
    <s v="AB-52933"/>
    <s v="Aarya Iyer"/>
    <x v="0"/>
    <s v="Delhi"/>
    <x v="4"/>
    <s v="India"/>
    <n v="574359"/>
    <s v="APAC"/>
    <x v="4"/>
    <s v="TEC-3048"/>
    <s v="FUR::TBL"/>
    <s v="Whiteboard"/>
    <n v="3391.95"/>
    <n v="5"/>
    <n v="5"/>
    <n v="33.869999999999997"/>
    <n v="1031.6600000000001"/>
    <s v="Medium"/>
    <n v="2025"/>
    <x v="3"/>
    <x v="0"/>
    <s v="Saturday"/>
    <x v="3"/>
    <s v="Consumer"/>
    <n v="16959.75"/>
    <n v="847.98750000000007"/>
    <n v="16111.762500000001"/>
    <n v="17143.422500000001"/>
    <n v="3"/>
  </r>
  <r>
    <n v="8"/>
    <s v="CA-2023-275203"/>
    <d v="2025-01-26T00:00:00"/>
    <d v="2025-01-29T00:00:00"/>
    <s v="Standard Class"/>
    <s v="AB-62239"/>
    <s v="Aarya Sharma"/>
    <x v="1"/>
    <s v="Ahmedabad"/>
    <x v="0"/>
    <s v="India"/>
    <n v="512857"/>
    <s v="APAC"/>
    <x v="1"/>
    <s v="TEC-7233"/>
    <s v="TEC::MON"/>
    <s v="Desk Organizer"/>
    <n v="608.21"/>
    <n v="9"/>
    <n v="10"/>
    <n v="3.28"/>
    <n v="324.44"/>
    <s v="Low"/>
    <n v="2025"/>
    <x v="6"/>
    <x v="0"/>
    <s v="Sunday"/>
    <x v="0"/>
    <s v="Corporate"/>
    <n v="5473.89"/>
    <n v="547.38900000000001"/>
    <n v="4926.5010000000002"/>
    <n v="5250.9409999999998"/>
    <n v="3"/>
  </r>
  <r>
    <n v="9"/>
    <s v="CA-2025-429365"/>
    <d v="2025-01-30T00:00:00"/>
    <d v="2025-02-01T00:00:00"/>
    <s v="First Class"/>
    <s v="AB-49313"/>
    <s v="Rahul Malhotra"/>
    <x v="0"/>
    <s v="Mumbai"/>
    <x v="5"/>
    <s v="India"/>
    <n v="730595"/>
    <s v="APAC"/>
    <x v="0"/>
    <s v="TEC-2828"/>
    <s v="TEC::ph "/>
    <s v="Desk Organizer"/>
    <n v="669.86"/>
    <n v="9"/>
    <n v="10"/>
    <n v="-3.52"/>
    <n v="219.42"/>
    <s v="Medium"/>
    <n v="2025"/>
    <x v="4"/>
    <x v="0"/>
    <s v="Monday"/>
    <x v="4"/>
    <s v="Consumer"/>
    <n v="6028.74"/>
    <n v="602.87400000000002"/>
    <n v="5425.866"/>
    <n v="5645.2860000000001"/>
    <n v="2"/>
  </r>
  <r>
    <n v="10"/>
    <s v="CA-2023-887201"/>
    <d v="2025-02-03T00:00:00"/>
    <d v="2025-02-08T00:00:00"/>
    <s v="Second Class"/>
    <s v="AB-90234"/>
    <s v="Aarav Sharma"/>
    <x v="0"/>
    <s v="Kolkata"/>
    <x v="1"/>
    <s v="India"/>
    <n v="586142"/>
    <s v="APAC"/>
    <x v="0"/>
    <s v="TEC-2917"/>
    <s v="FUR::TBL"/>
    <s v="Laptop Stand"/>
    <n v="1421.45"/>
    <n v="8"/>
    <n v="25"/>
    <n v="34.44"/>
    <n v="876.2"/>
    <s v="Critical"/>
    <n v="2025"/>
    <x v="6"/>
    <x v="0"/>
    <s v="Tuesday"/>
    <x v="3"/>
    <s v="Consumer"/>
    <n v="11371.6"/>
    <n v="2842.9"/>
    <n v="8528.7000000000007"/>
    <n v="9404.9000000000015"/>
    <n v="5"/>
  </r>
  <r>
    <n v="11"/>
    <s v="CA-2024-876997"/>
    <d v="2025-02-06T00:00:00"/>
    <d v="2025-02-12T00:00:00"/>
    <s v="Same Day"/>
    <s v="AB-71644"/>
    <s v="Ayaan Verma"/>
    <x v="2"/>
    <s v="Bengaluru"/>
    <x v="4"/>
    <s v="India"/>
    <n v="774033"/>
    <s v="APAC"/>
    <x v="1"/>
    <s v="TEC-5234"/>
    <s v="OFF:: bin"/>
    <s v="Wireless Mouse"/>
    <n v="1103.8699999999999"/>
    <n v="1"/>
    <n v="15"/>
    <n v="37.78"/>
    <n v="32.08"/>
    <s v="Medium"/>
    <n v="2025"/>
    <x v="2"/>
    <x v="0"/>
    <s v="Wednesday"/>
    <x v="5"/>
    <s v="Home Office"/>
    <n v="1103.8699999999999"/>
    <n v="165.58049999999997"/>
    <n v="938.28949999999986"/>
    <n v="970.3694999999999"/>
    <n v="6"/>
  </r>
  <r>
    <n v="12"/>
    <s v="CA-2024-891743"/>
    <d v="2025-02-10T00:00:00"/>
    <d v="2025-02-11T00:00:00"/>
    <s v="Same Day"/>
    <s v="AB-76055"/>
    <s v="Ayaan Patel"/>
    <x v="2"/>
    <s v="Ahmedabad"/>
    <x v="2"/>
    <s v="India"/>
    <n v="510449"/>
    <s v="APAC"/>
    <x v="1"/>
    <s v="TEC-7988"/>
    <s v="TEC::PHHH"/>
    <s v="Smart Phone"/>
    <n v="42688.55"/>
    <n v="1"/>
    <n v="20"/>
    <n v="33.11"/>
    <n v="1961.12"/>
    <s v="Low"/>
    <n v="2025"/>
    <x v="0"/>
    <x v="0"/>
    <s v="Thursday"/>
    <x v="6"/>
    <s v="Home Office"/>
    <n v="42688.55"/>
    <n v="8537.7100000000009"/>
    <n v="34150.840000000004"/>
    <n v="36111.960000000006"/>
    <n v="1"/>
  </r>
  <r>
    <n v="13"/>
    <s v="CA-2023-314176"/>
    <d v="2025-02-14T00:00:00"/>
    <d v="2025-02-18T00:00:00"/>
    <s v="Same Day"/>
    <s v="AB-38031"/>
    <s v="Vivaan Jain"/>
    <x v="1"/>
    <s v="Bengaluru"/>
    <x v="2"/>
    <s v="India"/>
    <n v="414398"/>
    <s v="APAC"/>
    <x v="4"/>
    <s v="TEC-3026"/>
    <s v="OFF:BIN"/>
    <s v="LED Monitor"/>
    <n v="19322.39"/>
    <n v="9"/>
    <n v="25"/>
    <n v="30.48"/>
    <n v="13323.8"/>
    <s v="Medium"/>
    <n v="2025"/>
    <x v="3"/>
    <x v="0"/>
    <s v="Friday"/>
    <x v="7"/>
    <s v="Corporate"/>
    <n v="173901.51"/>
    <n v="43475.377500000002"/>
    <n v="130426.13250000001"/>
    <n v="143749.9325"/>
    <n v="4"/>
  </r>
  <r>
    <n v="14"/>
    <s v="CA-2024-521909"/>
    <d v="2025-02-17T00:00:00"/>
    <d v="2025-02-18T00:00:00"/>
    <s v="Second Class"/>
    <s v="AB-33975"/>
    <s v="Aditya Verma"/>
    <x v="0"/>
    <s v="Mumbai"/>
    <x v="6"/>
    <s v="India"/>
    <n v="578032"/>
    <s v="APAC"/>
    <x v="2"/>
    <s v="TEC-4744"/>
    <s v="OFF::ART"/>
    <s v="Whiteboard"/>
    <n v="3427.65"/>
    <n v="11"/>
    <n v="0"/>
    <n v="22.76"/>
    <n v="1703.61"/>
    <s v="Low"/>
    <n v="2025"/>
    <x v="5"/>
    <x v="0"/>
    <s v="Saturday"/>
    <x v="8"/>
    <s v="Consumer"/>
    <n v="37704.15"/>
    <n v="0"/>
    <n v="37704.15"/>
    <n v="39407.760000000002"/>
    <n v="1"/>
  </r>
  <r>
    <n v="15"/>
    <s v="CA-2023-358795"/>
    <d v="2025-02-21T00:00:00"/>
    <d v="2025-02-26T00:00:00"/>
    <s v="First Class"/>
    <s v="AB-43606"/>
    <s v="Saanvi Sharma"/>
    <x v="0"/>
    <s v="Pune"/>
    <x v="1"/>
    <s v="India"/>
    <n v="793945"/>
    <s v="APAC"/>
    <x v="0"/>
    <s v="TEC-1009"/>
    <s v="TEC::MON"/>
    <s v="Laptop Stand"/>
    <n v="1599.07"/>
    <n v="8"/>
    <n v="20"/>
    <n v="17.54"/>
    <n v="745.95"/>
    <s v="Medium"/>
    <n v="2025"/>
    <x v="4"/>
    <x v="0"/>
    <s v="Sunday"/>
    <x v="0"/>
    <s v="Consumer"/>
    <n v="12792.56"/>
    <n v="2558.5120000000002"/>
    <n v="10234.047999999999"/>
    <n v="10979.998"/>
    <n v="5"/>
  </r>
  <r>
    <n v="16"/>
    <s v="CA-2023-600186"/>
    <d v="2025-02-25T00:00:00"/>
    <d v="2025-03-01T00:00:00"/>
    <s v="Second Class"/>
    <s v="AB-92863"/>
    <s v="Saanvi Mehta"/>
    <x v="2"/>
    <s v="Chennai"/>
    <x v="3"/>
    <s v="India"/>
    <n v="519181"/>
    <s v="APAC"/>
    <x v="4"/>
    <s v="TEC-1260"/>
    <s v="OFF::CAB"/>
    <s v="File Cabinet"/>
    <n v="11753.24"/>
    <n v="10"/>
    <n v="25"/>
    <n v="-5.65"/>
    <n v="5154.46"/>
    <s v="Low"/>
    <n v="2025"/>
    <x v="3"/>
    <x v="0"/>
    <s v="Monday"/>
    <x v="9"/>
    <s v="Home Office"/>
    <n v="117532.4"/>
    <n v="29383.1"/>
    <n v="88149.299999999988"/>
    <n v="93303.76"/>
    <n v="4"/>
  </r>
  <r>
    <n v="17"/>
    <s v="CA-2025-970910"/>
    <d v="2025-02-28T00:00:00"/>
    <d v="2025-03-05T00:00:00"/>
    <s v="Same Day"/>
    <s v="AB-77656"/>
    <s v="Rohan Patel"/>
    <x v="0"/>
    <s v="Chennai"/>
    <x v="6"/>
    <s v="India"/>
    <n v="466235"/>
    <s v="APAC"/>
    <x v="2"/>
    <s v="TEC-7038"/>
    <s v="OFF::ART"/>
    <s v="Wireless Mouse"/>
    <n v="1240.3399999999999"/>
    <n v="9"/>
    <n v="20"/>
    <n v="10.42"/>
    <n v="406.93"/>
    <s v="Low"/>
    <n v="2025"/>
    <x v="5"/>
    <x v="0"/>
    <s v="Tuesday"/>
    <x v="8"/>
    <s v="Consumer"/>
    <n v="11163.06"/>
    <n v="2232.6120000000001"/>
    <n v="8930.4480000000003"/>
    <n v="9337.3780000000006"/>
    <n v="5"/>
  </r>
  <r>
    <n v="18"/>
    <s v="CA-2024-249503"/>
    <d v="2025-03-04T00:00:00"/>
    <d v="2025-03-07T00:00:00"/>
    <s v="Second Class"/>
    <s v="AB-46410"/>
    <s v="Priya Mehta"/>
    <x v="0"/>
    <s v="Kolkata"/>
    <x v="6"/>
    <s v="India"/>
    <n v="439955"/>
    <s v="APAC"/>
    <x v="4"/>
    <s v="TEC-3219"/>
    <s v="OFF::ART"/>
    <s v="Smart Phone"/>
    <n v="42344.86"/>
    <n v="7"/>
    <n v="15"/>
    <n v="8.6300000000000008"/>
    <n v="23428.17"/>
    <s v="Medium"/>
    <n v="2025"/>
    <x v="0"/>
    <x v="0"/>
    <s v="Wednesday"/>
    <x v="8"/>
    <s v="Consumer"/>
    <n v="296414.02"/>
    <n v="44462.103000000003"/>
    <n v="251951.91700000002"/>
    <n v="275380.087"/>
    <n v="3"/>
  </r>
  <r>
    <n v="19"/>
    <s v="CA-2025-165725"/>
    <d v="2025-03-08T00:00:00"/>
    <d v="2025-03-12T00:00:00"/>
    <s v="Second Class"/>
    <s v="AB-32715"/>
    <s v="Aarya Verma"/>
    <x v="0"/>
    <s v="Mumbai"/>
    <x v="2"/>
    <s v="India"/>
    <n v="578353"/>
    <s v="APAC"/>
    <x v="0"/>
    <s v="TEC-8041"/>
    <s v="OFF::CAB"/>
    <s v="Smart Phone"/>
    <n v="43138.33"/>
    <n v="3"/>
    <n v="0"/>
    <n v="2.99"/>
    <n v="5766.74"/>
    <s v="Critical"/>
    <n v="2025"/>
    <x v="6"/>
    <x v="0"/>
    <s v="Thursday"/>
    <x v="9"/>
    <s v="Consumer"/>
    <n v="129414.99"/>
    <n v="0"/>
    <n v="129414.99"/>
    <n v="135181.73000000001"/>
    <n v="4"/>
  </r>
  <r>
    <n v="20"/>
    <s v="CA-2024-184654"/>
    <d v="2025-03-11T00:00:00"/>
    <d v="2025-03-14T00:00:00"/>
    <s v="Second Class"/>
    <s v="AB-44635"/>
    <s v="Diya Gupta"/>
    <x v="2"/>
    <s v="Ahmedabad"/>
    <x v="0"/>
    <s v="India"/>
    <n v="479460"/>
    <s v="APAC"/>
    <x v="1"/>
    <s v="TEC-3060"/>
    <s v="TEC::MSW"/>
    <s v="File Cabinet"/>
    <n v="12951.21"/>
    <n v="3"/>
    <n v="15"/>
    <n v="26.17"/>
    <n v="2861.41"/>
    <s v="High"/>
    <n v="2025"/>
    <x v="0"/>
    <x v="0"/>
    <s v="Friday"/>
    <x v="2"/>
    <s v="Home Office"/>
    <n v="38853.629999999997"/>
    <n v="5828.0444999999991"/>
    <n v="33025.585500000001"/>
    <n v="35886.995500000005"/>
    <n v="3"/>
  </r>
  <r>
    <n v="21"/>
    <s v="CA-2024-691723"/>
    <d v="2025-03-15T00:00:00"/>
    <d v="2025-03-16T00:00:00"/>
    <s v="First Class"/>
    <s v="AB-30574"/>
    <s v="Reyansh Jain"/>
    <x v="1"/>
    <s v="Kolkata"/>
    <x v="1"/>
    <s v="India"/>
    <n v="595005"/>
    <s v="APAC"/>
    <x v="1"/>
    <s v="TEC-6287"/>
    <s v="TEC::MSW"/>
    <s v="LED Monitor"/>
    <n v="16698.11"/>
    <n v="2"/>
    <n v="0"/>
    <n v="14.79"/>
    <n v="1128.7"/>
    <s v="Critical"/>
    <n v="2025"/>
    <x v="7"/>
    <x v="0"/>
    <s v="Saturday"/>
    <x v="2"/>
    <s v="Corporate"/>
    <n v="33396.22"/>
    <n v="0"/>
    <n v="33396.22"/>
    <n v="34524.92"/>
    <n v="1"/>
  </r>
  <r>
    <n v="22"/>
    <s v="CA-2025-428947"/>
    <d v="2025-03-19T00:00:00"/>
    <d v="2025-03-20T00:00:00"/>
    <s v="Standard Class"/>
    <s v="AB-71657"/>
    <s v="Vivaan Jain"/>
    <x v="1"/>
    <s v="Mumbai"/>
    <x v="6"/>
    <s v="India"/>
    <n v="600969"/>
    <s v="APAC"/>
    <x v="2"/>
    <s v="TEC-2619"/>
    <s v="TEC::MON"/>
    <s v="Desk Organizer"/>
    <n v="596.12"/>
    <n v="5"/>
    <n v="5"/>
    <n v="-5.95"/>
    <n v="97.72"/>
    <s v="Medium"/>
    <n v="2025"/>
    <x v="2"/>
    <x v="0"/>
    <s v="Sunday"/>
    <x v="0"/>
    <s v="Corporate"/>
    <n v="2980.6"/>
    <n v="149.03"/>
    <n v="2831.5699999999997"/>
    <n v="2929.2899999999995"/>
    <n v="1"/>
  </r>
  <r>
    <n v="23"/>
    <s v="CA-2023-373538"/>
    <d v="2025-03-22T00:00:00"/>
    <d v="2025-03-26T00:00:00"/>
    <s v="Standard Class"/>
    <s v="AB-86554"/>
    <s v="Amit Verma"/>
    <x v="0"/>
    <s v="Hyderabad"/>
    <x v="2"/>
    <s v="India"/>
    <n v="459164"/>
    <s v="APAC"/>
    <x v="3"/>
    <s v="TEC-9512"/>
    <s v="OFF::ART"/>
    <s v="Laptop Stand"/>
    <n v="1412.37"/>
    <n v="3"/>
    <n v="25"/>
    <n v="1.01"/>
    <n v="92.66"/>
    <s v="Critical"/>
    <n v="2025"/>
    <x v="7"/>
    <x v="0"/>
    <s v="Monday"/>
    <x v="8"/>
    <s v="Consumer"/>
    <n v="4237.1099999999997"/>
    <n v="1059.2774999999999"/>
    <n v="3177.8324999999995"/>
    <n v="3270.4924999999994"/>
    <n v="4"/>
  </r>
  <r>
    <n v="24"/>
    <s v="CA-2023-628178"/>
    <d v="2025-03-26T00:00:00"/>
    <d v="2025-03-30T00:00:00"/>
    <s v="Second Class"/>
    <s v="AB-31747"/>
    <s v="Amit Gupta"/>
    <x v="1"/>
    <s v="Delhi"/>
    <x v="3"/>
    <s v="India"/>
    <n v="451935"/>
    <s v="APAC"/>
    <x v="2"/>
    <s v="TEC-2342"/>
    <s v="FUR::CH"/>
    <s v="Office Chair"/>
    <n v="6789.8"/>
    <n v="6"/>
    <n v="0"/>
    <n v="24.16"/>
    <n v="2407.66"/>
    <s v="Low"/>
    <n v="2025"/>
    <x v="4"/>
    <x v="0"/>
    <s v="Tuesday"/>
    <x v="1"/>
    <s v="Corporate"/>
    <n v="40738.800000000003"/>
    <n v="0"/>
    <n v="40738.800000000003"/>
    <n v="43146.460000000006"/>
    <n v="4"/>
  </r>
  <r>
    <n v="25"/>
    <s v="CA-2025-589492"/>
    <d v="2025-03-30T00:00:00"/>
    <d v="2025-04-05T00:00:00"/>
    <s v="Standard Class"/>
    <s v="AB-40369"/>
    <s v="Vivaan Malhotra"/>
    <x v="2"/>
    <s v="Kolkata"/>
    <x v="4"/>
    <s v="India"/>
    <n v="595968"/>
    <s v="APAC"/>
    <x v="3"/>
    <s v="TEC-3832"/>
    <s v="FUR::TBL"/>
    <s v="Whiteboard"/>
    <n v="2996.12"/>
    <n v="2"/>
    <n v="15"/>
    <n v="-6.19"/>
    <n v="252.34"/>
    <s v="High"/>
    <n v="2025"/>
    <x v="3"/>
    <x v="0"/>
    <s v="Wednesday"/>
    <x v="3"/>
    <s v="Home Office"/>
    <n v="5992.24"/>
    <n v="898.8359999999999"/>
    <n v="5093.4039999999995"/>
    <n v="5345.7439999999997"/>
    <n v="6"/>
  </r>
  <r>
    <n v="26"/>
    <s v="CA-2023-573254"/>
    <d v="2025-04-02T00:00:00"/>
    <d v="2025-04-07T00:00:00"/>
    <s v="Standard Class"/>
    <s v="AB-23858"/>
    <s v="Sai Sharma"/>
    <x v="2"/>
    <s v="Kolkata"/>
    <x v="5"/>
    <s v="India"/>
    <n v="716243"/>
    <s v="APAC"/>
    <x v="4"/>
    <s v="TEC-3824"/>
    <s v="TEC::MON"/>
    <s v="Office Chair"/>
    <n v="7624.56"/>
    <n v="3"/>
    <n v="20"/>
    <n v="32.56"/>
    <n v="1643.74"/>
    <s v="Medium"/>
    <n v="2025"/>
    <x v="4"/>
    <x v="0"/>
    <s v="Thursday"/>
    <x v="0"/>
    <s v="Home Office"/>
    <n v="22873.68"/>
    <n v="4574.7359999999999"/>
    <n v="18298.944"/>
    <n v="19942.684000000001"/>
    <n v="5"/>
  </r>
  <r>
    <n v="27"/>
    <s v="CA-2024-765987"/>
    <d v="2025-04-06T00:00:00"/>
    <d v="2025-04-12T00:00:00"/>
    <s v="Second Class"/>
    <s v="AB-81741"/>
    <s v="Priya Patel"/>
    <x v="1"/>
    <s v="Ahmedabad"/>
    <x v="5"/>
    <s v="India"/>
    <n v="405487"/>
    <s v="APAC"/>
    <x v="4"/>
    <s v="TEC-2994"/>
    <s v="OFF::BIN"/>
    <s v="File Cabinet"/>
    <n v="11811.42"/>
    <n v="5"/>
    <n v="0"/>
    <n v="14.76"/>
    <n v="2857.93"/>
    <s v="Medium"/>
    <n v="2025"/>
    <x v="6"/>
    <x v="0"/>
    <s v="Friday"/>
    <x v="10"/>
    <s v="Corporate"/>
    <n v="59057.1"/>
    <n v="0"/>
    <n v="59057.1"/>
    <n v="61915.03"/>
    <n v="6"/>
  </r>
  <r>
    <n v="28"/>
    <s v="CA-2023-339931"/>
    <d v="2025-04-10T00:00:00"/>
    <d v="2025-04-15T00:00:00"/>
    <s v="Second Class"/>
    <s v="AB-27655"/>
    <s v="Ishaan Gupta"/>
    <x v="1"/>
    <s v="Bengaluru"/>
    <x v="1"/>
    <s v="India"/>
    <n v="539408"/>
    <s v="APAC"/>
    <x v="0"/>
    <s v="TEC-4490"/>
    <s v="OFF::CAB"/>
    <s v="Smart Phone"/>
    <n v="48534.05"/>
    <n v="11"/>
    <n v="25"/>
    <n v="14.03"/>
    <n v="41691.120000000003"/>
    <s v="Medium"/>
    <n v="2025"/>
    <x v="5"/>
    <x v="0"/>
    <s v="Saturday"/>
    <x v="9"/>
    <s v="Corporate"/>
    <n v="533874.55000000005"/>
    <n v="133468.63750000001"/>
    <n v="400405.91250000003"/>
    <n v="442097.03250000003"/>
    <n v="5"/>
  </r>
  <r>
    <n v="29"/>
    <s v="CA-2024-305041"/>
    <d v="2025-04-13T00:00:00"/>
    <d v="2025-04-19T00:00:00"/>
    <s v="Same Day"/>
    <s v="AB-62543"/>
    <s v="Rohan Mehta"/>
    <x v="0"/>
    <s v="Hyderabad"/>
    <x v="6"/>
    <s v="India"/>
    <n v="749045"/>
    <s v="APAC"/>
    <x v="3"/>
    <s v="TEC-8984"/>
    <s v="OFF::ART"/>
    <s v="LED Monitor"/>
    <n v="19674.54"/>
    <n v="11"/>
    <n v="0"/>
    <n v="19.62"/>
    <n v="6737.48"/>
    <s v="High"/>
    <n v="2025"/>
    <x v="0"/>
    <x v="0"/>
    <s v="Sunday"/>
    <x v="8"/>
    <s v="Consumer"/>
    <n v="216419.94"/>
    <n v="0"/>
    <n v="216419.94"/>
    <n v="223157.42"/>
    <n v="6"/>
  </r>
  <r>
    <n v="30"/>
    <s v="CA-2024-831912"/>
    <d v="2025-04-17T00:00:00"/>
    <d v="2025-04-20T00:00:00"/>
    <s v="Standard Class"/>
    <s v="AB-48428"/>
    <s v="Vihaan Nair"/>
    <x v="1"/>
    <s v="Ahmedabad"/>
    <x v="5"/>
    <s v="India"/>
    <n v="526021"/>
    <s v="APAC"/>
    <x v="0"/>
    <s v="TEC-2604"/>
    <s v="TEC::MON"/>
    <s v="Smart Phone"/>
    <n v="43576.36"/>
    <n v="1"/>
    <n v="10"/>
    <n v="31.23"/>
    <n v="3142.61"/>
    <s v="Low"/>
    <n v="2025"/>
    <x v="7"/>
    <x v="0"/>
    <s v="Monday"/>
    <x v="0"/>
    <s v="Corporate"/>
    <n v="43576.36"/>
    <n v="4357.6360000000004"/>
    <n v="39218.724000000002"/>
    <n v="42361.334000000003"/>
    <n v="3"/>
  </r>
  <r>
    <n v="31"/>
    <s v="CA-2024-168148"/>
    <d v="2025-04-21T00:00:00"/>
    <d v="2025-04-25T00:00:00"/>
    <s v="First Class"/>
    <s v="AB-62653"/>
    <s v="Rohan Nair"/>
    <x v="0"/>
    <s v="Mumbai"/>
    <x v="0"/>
    <s v="India"/>
    <n v="502796"/>
    <s v="APAC"/>
    <x v="1"/>
    <s v="TEC-1235"/>
    <s v="TEC::PH"/>
    <s v="Whiteboard"/>
    <n v="3046.03"/>
    <n v="1"/>
    <n v="20"/>
    <n v="7.39"/>
    <n v="202.85"/>
    <s v="Medium"/>
    <n v="2025"/>
    <x v="1"/>
    <x v="0"/>
    <s v="Tuesday"/>
    <x v="11"/>
    <s v="Consumer"/>
    <n v="3046.03"/>
    <n v="609.20600000000002"/>
    <n v="2436.8240000000001"/>
    <n v="2639.674"/>
    <n v="4"/>
  </r>
  <r>
    <n v="32"/>
    <s v="CA-2024-748531"/>
    <d v="2025-04-24T00:00:00"/>
    <d v="2025-04-25T00:00:00"/>
    <s v="Second Class"/>
    <s v="AB-62751"/>
    <s v="Rohan Malhotra"/>
    <x v="0"/>
    <s v="Mumbai"/>
    <x v="5"/>
    <s v="India"/>
    <n v="620185"/>
    <s v="APAC"/>
    <x v="3"/>
    <s v="TEC-2908"/>
    <s v="TEC::PH"/>
    <s v="Smart Phone"/>
    <n v="43917.23"/>
    <n v="10"/>
    <n v="25"/>
    <n v="23.9"/>
    <n v="29097.5"/>
    <s v="Critical"/>
    <n v="2025"/>
    <x v="7"/>
    <x v="1"/>
    <s v="Wednesday"/>
    <x v="11"/>
    <s v="Consumer"/>
    <n v="439172.30000000005"/>
    <n v="109793.07500000001"/>
    <n v="329379.22500000003"/>
    <n v="358476.72500000003"/>
    <n v="1"/>
  </r>
  <r>
    <n v="33"/>
    <s v="CA-2025-778843"/>
    <d v="2025-04-28T00:00:00"/>
    <d v="2025-05-03T00:00:00"/>
    <s v="Same Day"/>
    <s v="AB-78881"/>
    <s v="Arjun Verma"/>
    <x v="2"/>
    <s v="Mumbai"/>
    <x v="5"/>
    <s v="India"/>
    <n v="542203"/>
    <s v="APAC"/>
    <x v="2"/>
    <s v="TEC-9567"/>
    <s v="TEC::MSW"/>
    <s v="Smart Phone"/>
    <n v="45812.65"/>
    <n v="9"/>
    <n v="25"/>
    <n v="18.29"/>
    <n v="29145.23"/>
    <s v="Medium"/>
    <n v="2025"/>
    <x v="6"/>
    <x v="1"/>
    <s v="Thursday"/>
    <x v="2"/>
    <s v="Home Office"/>
    <n v="412313.85000000003"/>
    <n v="103078.46250000001"/>
    <n v="309235.38750000001"/>
    <n v="338380.61749999999"/>
    <n v="5"/>
  </r>
  <r>
    <n v="34"/>
    <s v="CA-2025-672843"/>
    <d v="2025-05-02T00:00:00"/>
    <d v="2025-05-07T00:00:00"/>
    <s v="First Class"/>
    <s v="AB-29102"/>
    <s v="Sai Mehta"/>
    <x v="2"/>
    <s v="Pune"/>
    <x v="5"/>
    <s v="India"/>
    <n v="749653"/>
    <s v="APAC"/>
    <x v="1"/>
    <s v="TEC-4530"/>
    <s v="OFF::CAB"/>
    <s v="Whiteboard"/>
    <n v="3051.56"/>
    <n v="7"/>
    <n v="5"/>
    <n v="3.35"/>
    <n v="1402.59"/>
    <s v="Medium"/>
    <n v="2025"/>
    <x v="7"/>
    <x v="1"/>
    <s v="Friday"/>
    <x v="9"/>
    <s v="Home Office"/>
    <n v="21360.92"/>
    <n v="1068.046"/>
    <n v="20292.874"/>
    <n v="21695.464"/>
    <n v="5"/>
  </r>
  <r>
    <n v="35"/>
    <s v="CA-2023-903591"/>
    <d v="2025-05-06T00:00:00"/>
    <d v="2025-05-07T00:00:00"/>
    <s v="Standard Class"/>
    <s v="AB-51445"/>
    <s v="Vivaan Gupta"/>
    <x v="2"/>
    <s v="Mumbai"/>
    <x v="2"/>
    <s v="India"/>
    <n v="637028"/>
    <s v="APAC"/>
    <x v="1"/>
    <s v="TEC-6256"/>
    <s v="FUR::TBL"/>
    <s v="Laptop Stand"/>
    <n v="1537.24"/>
    <n v="1"/>
    <n v="15"/>
    <n v="33.93"/>
    <n v="88.5"/>
    <s v="Medium"/>
    <n v="2025"/>
    <x v="6"/>
    <x v="1"/>
    <s v="Saturday"/>
    <x v="3"/>
    <s v="Home Office"/>
    <n v="1537.24"/>
    <n v="230.58599999999998"/>
    <n v="1306.654"/>
    <n v="1395.154"/>
    <n v="1"/>
  </r>
  <r>
    <n v="36"/>
    <s v="CA-2025-206530"/>
    <d v="2025-05-09T00:00:00"/>
    <d v="2025-05-15T00:00:00"/>
    <s v="Same Day"/>
    <s v="AB-34519"/>
    <s v="Priya Iyer"/>
    <x v="2"/>
    <s v="Bengaluru"/>
    <x v="2"/>
    <s v="India"/>
    <n v="518325"/>
    <s v="APAC"/>
    <x v="2"/>
    <s v="TEC-3635"/>
    <s v="FUR::CH"/>
    <s v="Laptop Stand"/>
    <n v="1472.82"/>
    <n v="8"/>
    <n v="5"/>
    <n v="29.87"/>
    <n v="328.44"/>
    <s v="Medium"/>
    <n v="2025"/>
    <x v="1"/>
    <x v="1"/>
    <s v="Sunday"/>
    <x v="1"/>
    <s v="Home Office"/>
    <n v="11782.56"/>
    <n v="589.12800000000004"/>
    <n v="11193.431999999999"/>
    <n v="11521.871999999999"/>
    <n v="6"/>
  </r>
  <r>
    <n v="37"/>
    <s v="CA-2024-922352"/>
    <d v="2025-05-13T00:00:00"/>
    <d v="2025-05-18T00:00:00"/>
    <s v="Second Class"/>
    <s v="AB-17129"/>
    <s v="Neha Jain"/>
    <x v="1"/>
    <s v="Hyderabad"/>
    <x v="6"/>
    <s v="India"/>
    <n v="722711"/>
    <s v="APAC"/>
    <x v="1"/>
    <s v="TEC-9162"/>
    <s v="FUR::TBL"/>
    <s v="Whiteboard"/>
    <n v="3233.31"/>
    <n v="3"/>
    <n v="25"/>
    <n v="22.92"/>
    <n v="212.93"/>
    <s v="Low"/>
    <n v="2025"/>
    <x v="4"/>
    <x v="1"/>
    <s v="Monday"/>
    <x v="3"/>
    <s v="Corporate"/>
    <n v="9699.93"/>
    <n v="2424.9825000000001"/>
    <n v="7274.9475000000002"/>
    <n v="7487.8775000000005"/>
    <n v="5"/>
  </r>
  <r>
    <n v="38"/>
    <s v="CA-2024-824839"/>
    <d v="2025-05-17T00:00:00"/>
    <d v="2025-05-20T00:00:00"/>
    <s v="First Class"/>
    <s v="AB-88874"/>
    <s v="Neha Reddy"/>
    <x v="2"/>
    <s v="Chennai"/>
    <x v="0"/>
    <s v="India"/>
    <n v="597776"/>
    <s v="APAC"/>
    <x v="3"/>
    <s v="TEC-3560"/>
    <s v="FUR::TBL"/>
    <s v="LED Monitor"/>
    <n v="18263.669999999998"/>
    <n v="8"/>
    <n v="20"/>
    <n v="32.53"/>
    <n v="10994.86"/>
    <s v="Critical"/>
    <n v="2025"/>
    <x v="0"/>
    <x v="1"/>
    <s v="Tuesday"/>
    <x v="3"/>
    <s v="Home Office"/>
    <n v="146109.35999999999"/>
    <n v="29221.871999999999"/>
    <n v="116887.48799999998"/>
    <n v="127882.34799999998"/>
    <n v="3"/>
  </r>
  <r>
    <n v="39"/>
    <s v="CA-2024-559773"/>
    <d v="2025-05-20T00:00:00"/>
    <d v="2025-05-24T00:00:00"/>
    <s v="Second Class"/>
    <s v="AB-20990"/>
    <s v="Vihaan Reddy"/>
    <x v="1"/>
    <s v="Delhi"/>
    <x v="6"/>
    <s v="India"/>
    <n v="689337"/>
    <s v="APAC"/>
    <x v="0"/>
    <s v="TEC-6415"/>
    <s v="FUR::TBL"/>
    <s v="File Cabinet"/>
    <n v="11506.72"/>
    <n v="5"/>
    <n v="0"/>
    <n v="33.36"/>
    <n v="3279.36"/>
    <s v="Low"/>
    <n v="2025"/>
    <x v="3"/>
    <x v="1"/>
    <s v="Wednesday"/>
    <x v="3"/>
    <s v="Corporate"/>
    <n v="57533.599999999999"/>
    <n v="0"/>
    <n v="57533.599999999999"/>
    <n v="60812.959999999999"/>
    <n v="4"/>
  </r>
  <r>
    <n v="40"/>
    <s v="CA-2024-864469"/>
    <d v="2025-05-24T00:00:00"/>
    <d v="2025-05-25T00:00:00"/>
    <s v="Standard Class"/>
    <s v="AB-21038"/>
    <s v="Vihaan Reddy"/>
    <x v="2"/>
    <s v="Bengaluru"/>
    <x v="2"/>
    <s v="India"/>
    <n v="663207"/>
    <s v="APAC"/>
    <x v="1"/>
    <s v="TEC-4391"/>
    <s v="OFF::CAB"/>
    <s v="Wireless Mouse"/>
    <n v="1307.6300000000001"/>
    <n v="1"/>
    <n v="0"/>
    <n v="25.42"/>
    <n v="88.65"/>
    <s v="Critical"/>
    <n v="2025"/>
    <x v="5"/>
    <x v="1"/>
    <s v="Thursday"/>
    <x v="9"/>
    <s v="Home Office"/>
    <n v="1307.6300000000001"/>
    <n v="0"/>
    <n v="1307.6300000000001"/>
    <n v="1396.2800000000002"/>
    <n v="1"/>
  </r>
  <r>
    <n v="41"/>
    <s v="CA-2024-415139"/>
    <d v="2025-05-28T00:00:00"/>
    <d v="2025-06-01T00:00:00"/>
    <s v="First Class"/>
    <s v="AB-31462"/>
    <s v="Aditya Gupta"/>
    <x v="1"/>
    <s v="Bengaluru"/>
    <x v="1"/>
    <s v="India"/>
    <n v="484077"/>
    <s v="APAC"/>
    <x v="3"/>
    <s v="TEC-6951"/>
    <s v="FUR::TBL"/>
    <s v="Smart Phone"/>
    <n v="47372.45"/>
    <n v="7"/>
    <n v="20"/>
    <n v="31.85"/>
    <n v="16212.72"/>
    <s v="Medium"/>
    <n v="2025"/>
    <x v="3"/>
    <x v="1"/>
    <s v="Friday"/>
    <x v="3"/>
    <s v="Corporate"/>
    <n v="331607.14999999997"/>
    <n v="66321.429999999993"/>
    <n v="265285.71999999997"/>
    <n v="281498.43999999994"/>
    <n v="4"/>
  </r>
  <r>
    <n v="42"/>
    <s v="CA-2024-371836"/>
    <d v="2025-05-31T00:00:00"/>
    <d v="2025-06-05T00:00:00"/>
    <s v="Standard Class"/>
    <s v="AB-33974"/>
    <s v="Amit Nair"/>
    <x v="0"/>
    <s v="Pune"/>
    <x v="1"/>
    <s v="India"/>
    <n v="489781"/>
    <s v="APAC"/>
    <x v="4"/>
    <s v="TEC-6468"/>
    <s v="OFF::BIN"/>
    <s v="LED Monitor"/>
    <n v="17168.419999999998"/>
    <n v="5"/>
    <n v="25"/>
    <n v="24.87"/>
    <n v="2321.04"/>
    <s v="High"/>
    <n v="2025"/>
    <x v="4"/>
    <x v="1"/>
    <s v="Saturday"/>
    <x v="10"/>
    <s v="Consumer"/>
    <n v="85842.099999999991"/>
    <n v="21460.524999999998"/>
    <n v="64381.574999999997"/>
    <n v="66702.614999999991"/>
    <n v="5"/>
  </r>
  <r>
    <n v="43"/>
    <s v="CA-2025-302283"/>
    <d v="2025-06-04T00:00:00"/>
    <d v="2025-06-09T00:00:00"/>
    <s v="Standard Class"/>
    <s v="AB-76218"/>
    <s v="Rahul Gupta"/>
    <x v="1"/>
    <s v="Chennai"/>
    <x v="1"/>
    <s v="India"/>
    <n v="552618"/>
    <s v="APAC"/>
    <x v="3"/>
    <s v="TEC-9007"/>
    <s v="OFF::CAB"/>
    <s v="Smart Phone"/>
    <n v="48316.21"/>
    <n v="6"/>
    <n v="0"/>
    <n v="24.01"/>
    <n v="7975.41"/>
    <s v="Low"/>
    <n v="2025"/>
    <x v="5"/>
    <x v="1"/>
    <s v="Sunday"/>
    <x v="9"/>
    <s v="Corporate"/>
    <n v="289897.26"/>
    <n v="0"/>
    <n v="289897.26"/>
    <n v="297872.67"/>
    <n v="5"/>
  </r>
  <r>
    <n v="44"/>
    <s v="CA-2024-661353"/>
    <d v="2025-06-08T00:00:00"/>
    <d v="2025-06-09T00:00:00"/>
    <s v="Same Day"/>
    <s v="AB-39718"/>
    <s v="Arjun Verma"/>
    <x v="1"/>
    <s v="Chennai"/>
    <x v="3"/>
    <s v="India"/>
    <n v="421690"/>
    <s v="APAC"/>
    <x v="0"/>
    <s v="TEC-7413"/>
    <s v="OFF::BIN"/>
    <s v="Wireless Mouse"/>
    <n v="1196.98"/>
    <n v="6"/>
    <n v="0"/>
    <n v="20.93"/>
    <n v="439.06"/>
    <s v="High"/>
    <n v="2025"/>
    <x v="7"/>
    <x v="1"/>
    <s v="Monday"/>
    <x v="10"/>
    <s v="Corporate"/>
    <n v="7181.88"/>
    <n v="0"/>
    <n v="7181.88"/>
    <n v="7620.9400000000005"/>
    <n v="1"/>
  </r>
  <r>
    <n v="45"/>
    <s v="CA-2024-723587"/>
    <d v="2025-06-11T00:00:00"/>
    <d v="2025-06-14T00:00:00"/>
    <s v="Second Class"/>
    <s v="AB-19352"/>
    <s v="Ishaan Jain"/>
    <x v="2"/>
    <s v="Delhi"/>
    <x v="5"/>
    <s v="India"/>
    <n v="673319"/>
    <s v="APAC"/>
    <x v="3"/>
    <s v="TEC-7941"/>
    <s v="OFF::CAB"/>
    <s v="File Cabinet"/>
    <n v="12946.93"/>
    <n v="8"/>
    <n v="0"/>
    <n v="27.64"/>
    <n v="4745.66"/>
    <s v="Low"/>
    <n v="2025"/>
    <x v="1"/>
    <x v="1"/>
    <s v="Tuesday"/>
    <x v="9"/>
    <s v="Home Office"/>
    <n v="103575.44"/>
    <n v="0"/>
    <n v="103575.44"/>
    <n v="108321.1"/>
    <n v="3"/>
  </r>
  <r>
    <n v="46"/>
    <s v="CA-2024-635822"/>
    <d v="2025-06-15T00:00:00"/>
    <d v="2025-06-17T00:00:00"/>
    <s v="First Class"/>
    <s v="AB-56442"/>
    <s v="Sai Sharma"/>
    <x v="1"/>
    <s v="Delhi"/>
    <x v="3"/>
    <s v="India"/>
    <n v="750606"/>
    <s v="APAC"/>
    <x v="2"/>
    <s v="TEC-5820"/>
    <s v="TEC::MSW"/>
    <s v="Laptop Stand"/>
    <n v="1589.96"/>
    <n v="9"/>
    <n v="15"/>
    <n v="-2.0699999999999998"/>
    <n v="458.36"/>
    <s v="Medium"/>
    <n v="2025"/>
    <x v="1"/>
    <x v="1"/>
    <s v="Wednesday"/>
    <x v="2"/>
    <s v="Corporate"/>
    <n v="14309.64"/>
    <n v="2146.4459999999999"/>
    <n v="12163.194"/>
    <n v="12621.554"/>
    <n v="2"/>
  </r>
  <r>
    <n v="47"/>
    <s v="CA-2024-882038"/>
    <d v="2025-06-19T00:00:00"/>
    <d v="2025-06-20T00:00:00"/>
    <s v="Standard Class"/>
    <s v="AB-71544"/>
    <s v="Arjun Iyer"/>
    <x v="0"/>
    <s v="Chennai"/>
    <x v="2"/>
    <s v="India"/>
    <n v="788319"/>
    <s v="APAC"/>
    <x v="0"/>
    <s v="TEC-3898"/>
    <s v="TEC::MON"/>
    <s v="LED Monitor"/>
    <n v="18223.29"/>
    <n v="2"/>
    <n v="15"/>
    <n v="34.04"/>
    <n v="1803.95"/>
    <s v="Low"/>
    <n v="2025"/>
    <x v="2"/>
    <x v="1"/>
    <s v="Thursday"/>
    <x v="0"/>
    <s v="Consumer"/>
    <n v="36446.58"/>
    <n v="5466.9870000000001"/>
    <n v="30979.593000000001"/>
    <n v="32783.542999999998"/>
    <n v="1"/>
  </r>
  <r>
    <n v="48"/>
    <s v="CA-2023-679879"/>
    <d v="2025-06-22T00:00:00"/>
    <d v="2025-06-24T00:00:00"/>
    <s v="Standard Class"/>
    <s v="AB-94680"/>
    <s v="Saanvi Nair"/>
    <x v="0"/>
    <s v="Mumbai"/>
    <x v="1"/>
    <s v="India"/>
    <n v="765178"/>
    <s v="APAC"/>
    <x v="4"/>
    <s v="TEC-8546"/>
    <s v="TEC::PH"/>
    <s v="Desk Organizer"/>
    <n v="587.91999999999996"/>
    <n v="9"/>
    <n v="10"/>
    <n v="33.590000000000003"/>
    <n v="126.21"/>
    <s v="Medium"/>
    <n v="2025"/>
    <x v="4"/>
    <x v="1"/>
    <s v="Friday"/>
    <x v="11"/>
    <s v="Consumer"/>
    <n v="5291.28"/>
    <n v="529.12800000000004"/>
    <n v="4762.152"/>
    <n v="4888.3620000000001"/>
    <n v="2"/>
  </r>
  <r>
    <n v="49"/>
    <s v="CA-2023-123247"/>
    <d v="2025-06-26T00:00:00"/>
    <d v="2025-07-02T00:00:00"/>
    <s v="First Class"/>
    <s v="AB-41936"/>
    <s v="Aarya Verma"/>
    <x v="2"/>
    <s v="Bengaluru"/>
    <x v="2"/>
    <s v="India"/>
    <n v="409349"/>
    <s v="APAC"/>
    <x v="2"/>
    <s v="TEC-1077"/>
    <s v="FUR::TBL"/>
    <s v="Desk Organizer"/>
    <n v="619.92999999999995"/>
    <n v="11"/>
    <n v="5"/>
    <n v="-8.5399999999999991"/>
    <n v="374.5"/>
    <s v="Low"/>
    <n v="2025"/>
    <x v="4"/>
    <x v="1"/>
    <s v="Saturday"/>
    <x v="3"/>
    <s v="Home Office"/>
    <n v="6819.23"/>
    <n v="340.9615"/>
    <n v="6478.2684999999992"/>
    <n v="6852.7684999999992"/>
    <n v="6"/>
  </r>
  <r>
    <n v="50"/>
    <s v="CA-2023-567281"/>
    <d v="2025-06-30T00:00:00"/>
    <d v="2025-07-02T00:00:00"/>
    <s v="Standard Class"/>
    <s v="AB-43322"/>
    <s v="Rohan Nair"/>
    <x v="0"/>
    <s v="Ahmedabad"/>
    <x v="0"/>
    <s v="India"/>
    <n v="438103"/>
    <s v="APAC"/>
    <x v="3"/>
    <s v="TEC-8577"/>
    <s v="TEC::MSW"/>
    <s v="Wireless Mouse"/>
    <n v="1209.99"/>
    <n v="10"/>
    <n v="20"/>
    <n v="31.29"/>
    <n v="437.29"/>
    <s v="Medium"/>
    <n v="2025"/>
    <x v="0"/>
    <x v="1"/>
    <s v="Sunday"/>
    <x v="2"/>
    <s v="Consumer"/>
    <n v="12099.9"/>
    <n v="2419.98"/>
    <n v="9679.92"/>
    <n v="10117.210000000001"/>
    <n v="2"/>
  </r>
  <r>
    <n v="51"/>
    <s v="CA-2025-633556"/>
    <d v="2025-07-03T00:00:00"/>
    <d v="2025-07-06T00:00:00"/>
    <s v="Same Day"/>
    <s v="AB-37370"/>
    <s v="Ananya Iyer"/>
    <x v="1"/>
    <s v="Delhi"/>
    <x v="6"/>
    <s v="India"/>
    <n v="474461"/>
    <s v="APAC"/>
    <x v="0"/>
    <s v="TEC-5227"/>
    <s v="TEC::MON"/>
    <s v="Desk Organizer"/>
    <n v="667.35"/>
    <n v="9"/>
    <n v="20"/>
    <n v="-3.56"/>
    <n v="407.54"/>
    <s v="Medium"/>
    <n v="2025"/>
    <x v="3"/>
    <x v="1"/>
    <s v="Monday"/>
    <x v="0"/>
    <s v="Corporate"/>
    <n v="6006.1500000000005"/>
    <n v="1201.2300000000002"/>
    <n v="4804.92"/>
    <n v="5212.46"/>
    <n v="3"/>
  </r>
  <r>
    <n v="52"/>
    <s v="CA-2024-819064"/>
    <d v="2025-07-07T00:00:00"/>
    <d v="2025-07-13T00:00:00"/>
    <s v="Same Day"/>
    <s v="AB-14850"/>
    <s v="Priya Iyer"/>
    <x v="0"/>
    <s v="Pune"/>
    <x v="5"/>
    <s v="India"/>
    <n v="764779"/>
    <s v="APAC"/>
    <x v="4"/>
    <s v="TEC-1600"/>
    <s v="TEC::PH"/>
    <s v="Laptop Stand"/>
    <n v="1427.37"/>
    <n v="10"/>
    <n v="20"/>
    <n v="6.76"/>
    <n v="551.27"/>
    <s v="Critical"/>
    <n v="2025"/>
    <x v="4"/>
    <x v="1"/>
    <s v="Tuesday"/>
    <x v="11"/>
    <s v="Consumer"/>
    <n v="14273.699999999999"/>
    <n v="2854.74"/>
    <n v="11418.96"/>
    <n v="11970.23"/>
    <n v="6"/>
  </r>
  <r>
    <n v="53"/>
    <s v="CA-2023-336584"/>
    <d v="2025-07-11T00:00:00"/>
    <d v="2025-07-13T00:00:00"/>
    <s v="Same Day"/>
    <s v="AB-30174"/>
    <s v="Priya Reddy"/>
    <x v="2"/>
    <s v="Pune"/>
    <x v="4"/>
    <s v="India"/>
    <n v="489931"/>
    <s v="APAC"/>
    <x v="2"/>
    <s v="TEC-2065"/>
    <s v="OFF::ART"/>
    <s v="Wireless Mouse"/>
    <n v="1113.45"/>
    <n v="10"/>
    <n v="10"/>
    <n v="27.18"/>
    <n v="526.80999999999995"/>
    <s v="Medium"/>
    <n v="2025"/>
    <x v="4"/>
    <x v="1"/>
    <s v="Wednesday"/>
    <x v="8"/>
    <s v="Home Office"/>
    <n v="11134.5"/>
    <n v="1113.45"/>
    <n v="10021.049999999999"/>
    <n v="10547.859999999999"/>
    <n v="2"/>
  </r>
  <r>
    <n v="54"/>
    <s v="CA-2023-937646"/>
    <d v="2025-07-14T00:00:00"/>
    <d v="2025-07-20T00:00:00"/>
    <s v="Same Day"/>
    <s v="AB-57620"/>
    <s v="Diya Sharma"/>
    <x v="1"/>
    <s v="Delhi"/>
    <x v="0"/>
    <s v="India"/>
    <n v="406802"/>
    <s v="APAC"/>
    <x v="4"/>
    <s v="TEC-3136"/>
    <s v="FUR::CH"/>
    <s v="Laptop Stand"/>
    <n v="1600.48"/>
    <n v="7"/>
    <n v="15"/>
    <n v="-1.96"/>
    <n v="231.88"/>
    <s v="Critical"/>
    <n v="2025"/>
    <x v="7"/>
    <x v="1"/>
    <s v="Thursday"/>
    <x v="1"/>
    <s v="Corporate"/>
    <n v="11203.36"/>
    <n v="1680.5040000000001"/>
    <n v="9522.8559999999998"/>
    <n v="9754.735999999999"/>
    <n v="6"/>
  </r>
  <r>
    <n v="55"/>
    <s v="CA-2023-476896"/>
    <d v="2025-07-18T00:00:00"/>
    <d v="2025-07-20T00:00:00"/>
    <s v="Standard Class"/>
    <s v="AB-48103"/>
    <s v="Vihaan Sharma"/>
    <x v="2"/>
    <s v="Chennai"/>
    <x v="5"/>
    <s v="India"/>
    <n v="503151"/>
    <s v="APAC"/>
    <x v="3"/>
    <s v="TEC-7943"/>
    <s v="OFF::BIN"/>
    <s v="File Cabinet"/>
    <n v="13162.57"/>
    <n v="1"/>
    <n v="25"/>
    <n v="30.9"/>
    <n v="320.47000000000003"/>
    <s v="Medium"/>
    <n v="2025"/>
    <x v="7"/>
    <x v="1"/>
    <s v="Friday"/>
    <x v="10"/>
    <s v="Home Office"/>
    <n v="13162.57"/>
    <n v="3290.6424999999999"/>
    <n v="9871.9274999999998"/>
    <n v="10192.397499999999"/>
    <n v="2"/>
  </r>
  <r>
    <n v="56"/>
    <s v="CA-2023-402918"/>
    <d v="2025-07-22T00:00:00"/>
    <d v="2025-07-25T00:00:00"/>
    <s v="First Class"/>
    <s v="AB-88767"/>
    <s v="Ayaan Sharma"/>
    <x v="1"/>
    <s v="Hyderabad"/>
    <x v="3"/>
    <s v="India"/>
    <n v="603340"/>
    <s v="APAC"/>
    <x v="4"/>
    <s v="TEC-8804"/>
    <s v="OFF::ART"/>
    <s v="Smart Phone"/>
    <n v="45231.21"/>
    <n v="7"/>
    <n v="25"/>
    <n v="31.61"/>
    <n v="13788.61"/>
    <s v="High"/>
    <n v="2025"/>
    <x v="5"/>
    <x v="1"/>
    <s v="Saturday"/>
    <x v="8"/>
    <s v="Corporate"/>
    <n v="316618.46999999997"/>
    <n v="79154.617499999993"/>
    <n v="237463.85249999998"/>
    <n v="251252.46249999997"/>
    <n v="3"/>
  </r>
  <r>
    <n v="57"/>
    <s v="CA-2023-220151"/>
    <d v="2025-07-25T00:00:00"/>
    <d v="2025-07-27T00:00:00"/>
    <s v="First Class"/>
    <s v="AB-65299"/>
    <s v="Aditya Malhotra"/>
    <x v="0"/>
    <s v="Ahmedabad"/>
    <x v="3"/>
    <s v="India"/>
    <n v="579209"/>
    <s v="APAC"/>
    <x v="1"/>
    <s v="TEC-7565"/>
    <s v="OFF::CAB"/>
    <s v="File Cabinet"/>
    <n v="11212.03"/>
    <n v="10"/>
    <n v="10"/>
    <n v="15.37"/>
    <n v="5471.06"/>
    <s v="Medium"/>
    <n v="2025"/>
    <x v="6"/>
    <x v="1"/>
    <s v="Sunday"/>
    <x v="9"/>
    <s v="Consumer"/>
    <n v="112120.3"/>
    <n v="11212.03"/>
    <n v="100908.27"/>
    <n v="106379.33"/>
    <n v="2"/>
  </r>
  <r>
    <n v="58"/>
    <s v="CA-2023-233767"/>
    <d v="2025-07-29T00:00:00"/>
    <d v="2025-07-31T00:00:00"/>
    <s v="First Class"/>
    <s v="AB-67058"/>
    <s v="Priya Reddy"/>
    <x v="2"/>
    <s v="Ahmedabad"/>
    <x v="0"/>
    <s v="India"/>
    <n v="554698"/>
    <s v="APAC"/>
    <x v="2"/>
    <s v="TEC-6984"/>
    <s v="TEC::PH"/>
    <s v="File Cabinet"/>
    <n v="11453.54"/>
    <n v="5"/>
    <n v="25"/>
    <n v="-9.68"/>
    <n v="3207.06"/>
    <s v="High"/>
    <n v="2025"/>
    <x v="6"/>
    <x v="1"/>
    <s v="Monday"/>
    <x v="11"/>
    <s v="Home Office"/>
    <n v="57267.700000000004"/>
    <n v="14316.925000000001"/>
    <n v="42950.775000000001"/>
    <n v="46157.834999999999"/>
    <n v="2"/>
  </r>
  <r>
    <n v="59"/>
    <s v="CA-2025-236330"/>
    <d v="2025-08-02T00:00:00"/>
    <d v="2025-08-04T00:00:00"/>
    <s v="First Class"/>
    <s v="AB-45562"/>
    <s v="Aarya Nair"/>
    <x v="2"/>
    <s v="Delhi"/>
    <x v="3"/>
    <s v="India"/>
    <n v="613946"/>
    <s v="APAC"/>
    <x v="4"/>
    <s v="TEC-6142"/>
    <s v="OFF::ART"/>
    <s v="Laptop Stand"/>
    <n v="1355.52"/>
    <n v="6"/>
    <n v="20"/>
    <n v="4.3499999999999996"/>
    <n v="304.99"/>
    <s v="High"/>
    <n v="2025"/>
    <x v="2"/>
    <x v="1"/>
    <s v="Tuesday"/>
    <x v="8"/>
    <s v="Home Office"/>
    <n v="8133.12"/>
    <n v="1626.624"/>
    <n v="6506.4960000000001"/>
    <n v="6811.4859999999999"/>
    <n v="2"/>
  </r>
  <r>
    <n v="60"/>
    <s v="CA-2025-401648"/>
    <d v="2025-08-05T00:00:00"/>
    <d v="2025-08-06T00:00:00"/>
    <s v="Second Class"/>
    <s v="AB-92859"/>
    <s v="Aarya Reddy"/>
    <x v="1"/>
    <s v="Mumbai"/>
    <x v="1"/>
    <s v="India"/>
    <n v="631916"/>
    <s v="APAC"/>
    <x v="3"/>
    <s v="TEC-5670"/>
    <s v="FUR::CH"/>
    <s v="Wireless Mouse"/>
    <n v="1299.43"/>
    <n v="10"/>
    <n v="5"/>
    <n v="20.85"/>
    <n v="801.73"/>
    <s v="Medium"/>
    <n v="2025"/>
    <x v="6"/>
    <x v="1"/>
    <s v="Wednesday"/>
    <x v="1"/>
    <s v="Corporate"/>
    <n v="12994.300000000001"/>
    <n v="649.71500000000015"/>
    <n v="12344.585000000001"/>
    <n v="13146.315000000001"/>
    <n v="1"/>
  </r>
  <r>
    <n v="61"/>
    <s v="CA-2025-686146"/>
    <d v="2025-08-09T00:00:00"/>
    <d v="2025-08-10T00:00:00"/>
    <s v="First Class"/>
    <s v="AB-37547"/>
    <s v="Vivaan Nair"/>
    <x v="2"/>
    <s v="Hyderabad"/>
    <x v="2"/>
    <s v="India"/>
    <n v="603665"/>
    <s v="APAC"/>
    <x v="3"/>
    <s v="TEC-3190"/>
    <s v="TEC::MSW"/>
    <s v="Wireless Mouse"/>
    <n v="1108.26"/>
    <n v="7"/>
    <n v="0"/>
    <n v="39.06"/>
    <n v="555.52"/>
    <s v="High"/>
    <n v="2025"/>
    <x v="0"/>
    <x v="2"/>
    <s v="Thursday"/>
    <x v="2"/>
    <s v="Home Office"/>
    <n v="7757.82"/>
    <n v="0"/>
    <n v="7757.82"/>
    <n v="8313.34"/>
    <n v="1"/>
  </r>
  <r>
    <n v="62"/>
    <s v="CA-2023-112666"/>
    <d v="2025-08-13T00:00:00"/>
    <d v="2025-08-14T00:00:00"/>
    <s v="Second Class"/>
    <s v="AB-44364"/>
    <s v="Aarya Reddy"/>
    <x v="1"/>
    <s v="Ahmedabad"/>
    <x v="6"/>
    <s v="India"/>
    <n v="608125"/>
    <s v="APAC"/>
    <x v="4"/>
    <s v="TEC-3712"/>
    <s v="TEC::PH"/>
    <s v="Desk Organizer"/>
    <n v="659.95"/>
    <n v="5"/>
    <n v="15"/>
    <n v="21.59"/>
    <n v="220.39"/>
    <s v="Critical"/>
    <n v="2025"/>
    <x v="2"/>
    <x v="2"/>
    <s v="Friday"/>
    <x v="11"/>
    <s v="Corporate"/>
    <n v="3299.75"/>
    <n v="494.96249999999998"/>
    <n v="2804.7874999999999"/>
    <n v="3025.1774999999998"/>
    <n v="1"/>
  </r>
  <r>
    <n v="63"/>
    <s v="CA-2023-234633"/>
    <d v="2025-08-16T00:00:00"/>
    <d v="2025-08-19T00:00:00"/>
    <s v="Second Class"/>
    <s v="AB-55460"/>
    <s v="Rahul Patel"/>
    <x v="1"/>
    <s v="Delhi"/>
    <x v="2"/>
    <s v="India"/>
    <n v="401543"/>
    <s v="APAC"/>
    <x v="3"/>
    <s v="TEC-3192"/>
    <s v="OFF::ART"/>
    <s v="Office Chair"/>
    <n v="7161.08"/>
    <n v="7"/>
    <n v="15"/>
    <n v="2.99"/>
    <n v="1121.71"/>
    <s v="Low"/>
    <n v="2025"/>
    <x v="5"/>
    <x v="2"/>
    <s v="Saturday"/>
    <x v="8"/>
    <s v="Corporate"/>
    <n v="50127.56"/>
    <n v="7519.1339999999991"/>
    <n v="42608.425999999999"/>
    <n v="43730.135999999999"/>
    <n v="3"/>
  </r>
  <r>
    <n v="64"/>
    <s v="CA-2025-950937"/>
    <d v="2025-08-20T00:00:00"/>
    <d v="2025-08-26T00:00:00"/>
    <s v="Same Day"/>
    <s v="AB-15728"/>
    <s v="Aditya Patel"/>
    <x v="1"/>
    <s v="Pune"/>
    <x v="5"/>
    <s v="India"/>
    <n v="683822"/>
    <s v="APAC"/>
    <x v="0"/>
    <s v="TEC-2248"/>
    <s v="OFF::BIN"/>
    <s v="Smart Phone"/>
    <n v="45487.6"/>
    <n v="9"/>
    <n v="10"/>
    <n v="21.7"/>
    <n v="19990.61"/>
    <s v="Medium"/>
    <n v="2025"/>
    <x v="7"/>
    <x v="2"/>
    <s v="Sunday"/>
    <x v="10"/>
    <s v="Corporate"/>
    <n v="409388.39999999997"/>
    <n v="40938.839999999997"/>
    <n v="368449.55999999994"/>
    <n v="388440.16999999993"/>
    <n v="6"/>
  </r>
  <r>
    <n v="65"/>
    <s v="CA-2023-807611"/>
    <d v="2025-08-24T00:00:00"/>
    <d v="2025-08-29T00:00:00"/>
    <s v="Second Class"/>
    <s v="AB-66193"/>
    <s v="Aarya Verma"/>
    <x v="1"/>
    <s v="Ahmedabad"/>
    <x v="6"/>
    <s v="India"/>
    <n v="577805"/>
    <s v="APAC"/>
    <x v="0"/>
    <s v="TEC-5033"/>
    <s v="OFF::BIN"/>
    <s v="Laptop Stand"/>
    <n v="1545.43"/>
    <n v="3"/>
    <n v="15"/>
    <n v="17"/>
    <n v="121.92"/>
    <s v="High"/>
    <n v="2025"/>
    <x v="6"/>
    <x v="2"/>
    <s v="Monday"/>
    <x v="10"/>
    <s v="Corporate"/>
    <n v="4636.29"/>
    <n v="695.44349999999997"/>
    <n v="3940.8465000000001"/>
    <n v="4062.7665000000002"/>
    <n v="5"/>
  </r>
  <r>
    <n v="66"/>
    <s v="CA-2025-894824"/>
    <d v="2025-08-27T00:00:00"/>
    <d v="2025-08-29T00:00:00"/>
    <s v="Standard Class"/>
    <s v="AB-59422"/>
    <s v="Sai Gupta"/>
    <x v="0"/>
    <s v="Kolkata"/>
    <x v="2"/>
    <s v="India"/>
    <n v="581416"/>
    <s v="APAC"/>
    <x v="0"/>
    <s v="TEC-2997"/>
    <s v="TEC::MON"/>
    <s v="Desk Organizer"/>
    <n v="692.87"/>
    <n v="8"/>
    <n v="20"/>
    <n v="28.99"/>
    <n v="191.36"/>
    <s v="Medium"/>
    <n v="2025"/>
    <x v="3"/>
    <x v="2"/>
    <s v="Tuesday"/>
    <x v="0"/>
    <s v="Consumer"/>
    <n v="5542.96"/>
    <n v="1108.5920000000001"/>
    <n v="4434.3680000000004"/>
    <n v="4625.7280000000001"/>
    <n v="2"/>
  </r>
  <r>
    <n v="67"/>
    <s v="CA-2024-938688"/>
    <d v="2025-08-31T00:00:00"/>
    <d v="2025-09-02T00:00:00"/>
    <s v="Second Class"/>
    <s v="AB-80355"/>
    <s v="Rahul Iyer"/>
    <x v="1"/>
    <s v="Hyderabad"/>
    <x v="6"/>
    <s v="India"/>
    <n v="439082"/>
    <s v="APAC"/>
    <x v="1"/>
    <s v="TEC-4687"/>
    <s v="OFF::ART"/>
    <s v="LED Monitor"/>
    <n v="17413.759999999998"/>
    <n v="2"/>
    <n v="25"/>
    <n v="-4.6500000000000004"/>
    <n v="2758.33"/>
    <s v="Critical"/>
    <n v="2025"/>
    <x v="7"/>
    <x v="2"/>
    <s v="Wednesday"/>
    <x v="8"/>
    <s v="Corporate"/>
    <n v="34827.519999999997"/>
    <n v="8706.8799999999992"/>
    <n v="26120.639999999999"/>
    <n v="28878.97"/>
    <n v="2"/>
  </r>
  <r>
    <n v="68"/>
    <s v="CA-2025-921654"/>
    <d v="2025-09-04T00:00:00"/>
    <d v="2025-09-07T00:00:00"/>
    <s v="Same Day"/>
    <s v="AB-61005"/>
    <s v="Arjun Nair"/>
    <x v="2"/>
    <s v="Hyderabad"/>
    <x v="2"/>
    <s v="India"/>
    <n v="593929"/>
    <s v="APAC"/>
    <x v="4"/>
    <s v="TEC-5018"/>
    <s v="FUR::TBL"/>
    <s v="Office Chair"/>
    <n v="6766.49"/>
    <n v="11"/>
    <n v="20"/>
    <n v="28.05"/>
    <n v="2125"/>
    <s v="Medium"/>
    <n v="2025"/>
    <x v="1"/>
    <x v="2"/>
    <s v="Thursday"/>
    <x v="3"/>
    <s v="Home Office"/>
    <n v="74431.39"/>
    <n v="14886.278"/>
    <n v="59545.112000000001"/>
    <n v="61670.112000000001"/>
    <n v="3"/>
  </r>
  <r>
    <n v="69"/>
    <s v="CA-2024-747972"/>
    <d v="2025-09-08T00:00:00"/>
    <d v="2025-09-10T00:00:00"/>
    <s v="Second Class"/>
    <s v="AB-85687"/>
    <s v="Reyansh Iyer"/>
    <x v="0"/>
    <s v="Kolkata"/>
    <x v="0"/>
    <s v="India"/>
    <n v="755250"/>
    <s v="APAC"/>
    <x v="1"/>
    <s v="TEC-2970"/>
    <s v="OFF::ART"/>
    <s v="Office Chair"/>
    <n v="6955.33"/>
    <n v="7"/>
    <n v="10"/>
    <n v="17.059999999999999"/>
    <n v="2431.12"/>
    <s v="Medium"/>
    <n v="2025"/>
    <x v="0"/>
    <x v="2"/>
    <s v="Friday"/>
    <x v="8"/>
    <s v="Consumer"/>
    <n v="48687.31"/>
    <n v="4868.7309999999998"/>
    <n v="43818.578999999998"/>
    <n v="46249.699000000001"/>
    <n v="2"/>
  </r>
  <r>
    <n v="70"/>
    <s v="CA-2025-556551"/>
    <d v="2025-09-11T00:00:00"/>
    <d v="2025-09-12T00:00:00"/>
    <s v="Standard Class"/>
    <s v="AB-75560"/>
    <s v="Rohan Patel"/>
    <x v="2"/>
    <s v="Bengaluru"/>
    <x v="6"/>
    <s v="India"/>
    <n v="619931"/>
    <s v="APAC"/>
    <x v="3"/>
    <s v="TEC-9389"/>
    <s v="TEC::MSW"/>
    <s v="Laptop Stand"/>
    <n v="1620.01"/>
    <n v="2"/>
    <n v="20"/>
    <n v="38.15"/>
    <n v="184.97"/>
    <s v="High"/>
    <n v="2025"/>
    <x v="7"/>
    <x v="2"/>
    <s v="Saturday"/>
    <x v="2"/>
    <s v="Home Office"/>
    <n v="3240.02"/>
    <n v="648.00400000000002"/>
    <n v="2592.0160000000001"/>
    <n v="2776.9859999999999"/>
    <n v="1"/>
  </r>
  <r>
    <n v="71"/>
    <s v="CA-2024-124538"/>
    <d v="2025-09-15T00:00:00"/>
    <d v="2025-09-20T00:00:00"/>
    <s v="Standard Class"/>
    <s v="AB-94806"/>
    <s v="Saanvi Iyer"/>
    <x v="0"/>
    <s v="Pune"/>
    <x v="2"/>
    <s v="India"/>
    <n v="681210"/>
    <s v="APAC"/>
    <x v="1"/>
    <s v="TEC-6765"/>
    <s v="TEC::PH"/>
    <s v="Whiteboard"/>
    <n v="3439.29"/>
    <n v="4"/>
    <n v="25"/>
    <n v="7.09"/>
    <n v="854.98"/>
    <s v="Critical"/>
    <n v="2025"/>
    <x v="0"/>
    <x v="2"/>
    <s v="Sunday"/>
    <x v="11"/>
    <s v="Consumer"/>
    <n v="13757.16"/>
    <n v="3439.29"/>
    <n v="10317.869999999999"/>
    <n v="11172.849999999999"/>
    <n v="5"/>
  </r>
  <r>
    <n v="72"/>
    <s v="CA-2025-301664"/>
    <d v="2025-09-19T00:00:00"/>
    <d v="2025-09-23T00:00:00"/>
    <s v="Standard Class"/>
    <s v="AB-68156"/>
    <s v="Rohan Malhotra"/>
    <x v="1"/>
    <s v="Kolkata"/>
    <x v="2"/>
    <s v="India"/>
    <n v="614533"/>
    <s v="APAC"/>
    <x v="3"/>
    <s v="TEC-2202"/>
    <s v="TEC::PH"/>
    <s v="Smart Phone"/>
    <n v="45876.72"/>
    <n v="7"/>
    <n v="5"/>
    <n v="21.63"/>
    <n v="17206.18"/>
    <s v="Low"/>
    <n v="2025"/>
    <x v="0"/>
    <x v="2"/>
    <s v="Monday"/>
    <x v="11"/>
    <s v="Corporate"/>
    <n v="321137.04000000004"/>
    <n v="16056.852000000003"/>
    <n v="305080.18800000002"/>
    <n v="322286.36800000002"/>
    <n v="4"/>
  </r>
  <r>
    <n v="73"/>
    <s v="CA-2025-999684"/>
    <d v="2025-09-22T00:00:00"/>
    <d v="2025-09-24T00:00:00"/>
    <s v="Same Day"/>
    <s v="AB-33808"/>
    <s v="Vihaan Nair"/>
    <x v="0"/>
    <s v="Chennai"/>
    <x v="2"/>
    <s v="India"/>
    <n v="488093"/>
    <s v="APAC"/>
    <x v="3"/>
    <s v="TEC-9135"/>
    <s v="TEC::MSW"/>
    <s v="Office Chair"/>
    <n v="7650.78"/>
    <n v="3"/>
    <n v="10"/>
    <n v="36.6"/>
    <n v="472.5"/>
    <s v="Low"/>
    <n v="2025"/>
    <x v="0"/>
    <x v="2"/>
    <s v="Tuesday"/>
    <x v="2"/>
    <s v="Consumer"/>
    <n v="22952.34"/>
    <n v="2295.2339999999999"/>
    <n v="20657.106"/>
    <n v="21129.606"/>
    <n v="2"/>
  </r>
  <r>
    <n v="74"/>
    <s v="CA-2025-572525"/>
    <d v="2025-09-26T00:00:00"/>
    <d v="2025-09-27T00:00:00"/>
    <s v="Same Day"/>
    <s v="AB-66585"/>
    <s v="Aditya Iyer"/>
    <x v="0"/>
    <s v="Chennai"/>
    <x v="2"/>
    <s v="India"/>
    <n v="716838"/>
    <s v="APAC"/>
    <x v="2"/>
    <s v="TEC-6567"/>
    <s v="OFF::ART"/>
    <s v="Laptop Stand"/>
    <n v="1549.51"/>
    <n v="2"/>
    <n v="5"/>
    <n v="-4.87"/>
    <n v="122.68"/>
    <s v="High"/>
    <n v="2025"/>
    <x v="5"/>
    <x v="2"/>
    <s v="Wednesday"/>
    <x v="8"/>
    <s v="Consumer"/>
    <n v="3099.02"/>
    <n v="154.95100000000002"/>
    <n v="2944.069"/>
    <n v="3066.7489999999998"/>
    <n v="1"/>
  </r>
  <r>
    <n v="75"/>
    <s v="CA-2025-284064"/>
    <d v="2025-09-30T00:00:00"/>
    <d v="2025-10-04T00:00:00"/>
    <s v="First Class"/>
    <s v="AB-47907"/>
    <s v="Ananya Verma"/>
    <x v="2"/>
    <s v="Delhi"/>
    <x v="6"/>
    <s v="India"/>
    <n v="689107"/>
    <s v="APAC"/>
    <x v="0"/>
    <s v="TEC-8667"/>
    <s v="TEC::MSW"/>
    <s v="Laptop Stand"/>
    <n v="1402.61"/>
    <n v="11"/>
    <n v="0"/>
    <n v="36.86"/>
    <n v="787.83"/>
    <s v="Medium"/>
    <n v="2025"/>
    <x v="0"/>
    <x v="2"/>
    <s v="Thursday"/>
    <x v="2"/>
    <s v="Home Office"/>
    <n v="15428.71"/>
    <n v="0"/>
    <n v="15428.71"/>
    <n v="16216.539999999999"/>
    <n v="4"/>
  </r>
  <r>
    <n v="76"/>
    <s v="CA-2023-723094"/>
    <d v="2025-10-03T00:00:00"/>
    <d v="2025-10-08T00:00:00"/>
    <s v="Same Day"/>
    <s v="AB-11030"/>
    <s v="Priya Malhotra"/>
    <x v="2"/>
    <s v="Hyderabad"/>
    <x v="4"/>
    <s v="India"/>
    <n v="428296"/>
    <s v="APAC"/>
    <x v="3"/>
    <s v="TEC-6742"/>
    <s v="FUR::CH"/>
    <s v="Desk Organizer"/>
    <n v="703.87"/>
    <n v="10"/>
    <n v="5"/>
    <n v="24.39"/>
    <n v="177.88"/>
    <s v="High"/>
    <n v="2025"/>
    <x v="0"/>
    <x v="2"/>
    <s v="Friday"/>
    <x v="1"/>
    <s v="Home Office"/>
    <n v="7038.7"/>
    <n v="351.935"/>
    <n v="6686.7649999999994"/>
    <n v="6864.6449999999995"/>
    <n v="5"/>
  </r>
  <r>
    <n v="77"/>
    <s v="CA-2025-997421"/>
    <d v="2025-10-07T00:00:00"/>
    <d v="2025-10-11T00:00:00"/>
    <s v="Standard Class"/>
    <s v="AB-71828"/>
    <s v="Priya Jain"/>
    <x v="1"/>
    <s v="Bengaluru"/>
    <x v="0"/>
    <s v="India"/>
    <n v="413808"/>
    <s v="APAC"/>
    <x v="2"/>
    <s v="TEC-6788"/>
    <s v="OFF::CAB"/>
    <s v="LED Monitor"/>
    <n v="18199.45"/>
    <n v="7"/>
    <n v="0"/>
    <n v="-6.61"/>
    <n v="5228.03"/>
    <s v="High"/>
    <n v="2025"/>
    <x v="1"/>
    <x v="2"/>
    <s v="Saturday"/>
    <x v="9"/>
    <s v="Corporate"/>
    <n v="127396.15000000001"/>
    <n v="0"/>
    <n v="127396.15000000001"/>
    <n v="132624.18000000002"/>
    <n v="4"/>
  </r>
  <r>
    <n v="78"/>
    <s v="CA-2025-745914"/>
    <d v="2025-10-11T00:00:00"/>
    <d v="2025-10-12T00:00:00"/>
    <s v="Standard Class"/>
    <s v="AB-37727"/>
    <s v="Vivaan Reddy"/>
    <x v="0"/>
    <s v="Bengaluru"/>
    <x v="1"/>
    <s v="India"/>
    <n v="557505"/>
    <s v="APAC"/>
    <x v="0"/>
    <s v="TEC-6408"/>
    <s v="TEC::MSW"/>
    <s v="Whiteboard"/>
    <n v="3125.21"/>
    <n v="1"/>
    <n v="0"/>
    <n v="5.05"/>
    <n v="68.73"/>
    <s v="High"/>
    <n v="2025"/>
    <x v="3"/>
    <x v="2"/>
    <s v="Sunday"/>
    <x v="2"/>
    <s v="Consumer"/>
    <n v="3125.21"/>
    <n v="0"/>
    <n v="3125.21"/>
    <n v="3193.94"/>
    <n v="1"/>
  </r>
  <r>
    <n v="79"/>
    <s v="CA-2023-318126"/>
    <d v="2025-10-14T00:00:00"/>
    <d v="2025-10-20T00:00:00"/>
    <s v="Same Day"/>
    <s v="AB-18430"/>
    <s v="Ayaan Sharma"/>
    <x v="0"/>
    <s v="Ahmedabad"/>
    <x v="6"/>
    <s v="India"/>
    <n v="638068"/>
    <s v="APAC"/>
    <x v="3"/>
    <s v="TEC-9669"/>
    <s v="OFF::BIN"/>
    <s v="Smart Phone"/>
    <n v="45170.26"/>
    <n v="8"/>
    <n v="5"/>
    <n v="25.41"/>
    <n v="8930.9599999999991"/>
    <s v="Medium"/>
    <n v="2025"/>
    <x v="2"/>
    <x v="2"/>
    <s v="Monday"/>
    <x v="10"/>
    <s v="Consumer"/>
    <n v="361362.08"/>
    <n v="18068.104000000003"/>
    <n v="343293.97600000002"/>
    <n v="352224.93600000005"/>
    <n v="6"/>
  </r>
  <r>
    <n v="80"/>
    <s v="CA-2024-222409"/>
    <d v="2025-10-18T00:00:00"/>
    <d v="2025-10-24T00:00:00"/>
    <s v="Second Class"/>
    <s v="AB-72307"/>
    <s v="Saanvi Gupta"/>
    <x v="0"/>
    <s v="Ahmedabad"/>
    <x v="2"/>
    <s v="India"/>
    <n v="568153"/>
    <s v="APAC"/>
    <x v="3"/>
    <s v="TEC-1922"/>
    <s v="TEC::MSW"/>
    <s v="Wireless Mouse"/>
    <n v="1091.27"/>
    <n v="3"/>
    <n v="10"/>
    <n v="-6.63"/>
    <n v="143.44"/>
    <s v="Critical"/>
    <n v="2025"/>
    <x v="4"/>
    <x v="2"/>
    <s v="Tuesday"/>
    <x v="2"/>
    <s v="Consumer"/>
    <n v="3273.81"/>
    <n v="327.38100000000003"/>
    <n v="2946.4290000000001"/>
    <n v="3089.8690000000001"/>
    <n v="6"/>
  </r>
  <r>
    <n v="81"/>
    <s v="CA-2023-353618"/>
    <d v="2025-10-22T00:00:00"/>
    <d v="2025-10-26T00:00:00"/>
    <s v="Same Day"/>
    <s v="AB-33848"/>
    <s v="Ishaan Iyer"/>
    <x v="1"/>
    <s v="Kolkata"/>
    <x v="4"/>
    <s v="India"/>
    <n v="794541"/>
    <s v="APAC"/>
    <x v="1"/>
    <s v="TEC-1419"/>
    <s v="TEC::PH"/>
    <s v="File Cabinet"/>
    <n v="11199.08"/>
    <n v="2"/>
    <n v="25"/>
    <n v="19.11"/>
    <n v="626.32000000000005"/>
    <s v="High"/>
    <n v="2025"/>
    <x v="1"/>
    <x v="2"/>
    <s v="Wednesday"/>
    <x v="11"/>
    <s v="Corporate"/>
    <n v="22398.16"/>
    <n v="5599.54"/>
    <n v="16798.62"/>
    <n v="17424.939999999999"/>
    <n v="4"/>
  </r>
  <r>
    <n v="82"/>
    <s v="CA-2025-150015"/>
    <d v="2025-10-25T00:00:00"/>
    <d v="2025-10-28T00:00:00"/>
    <s v="Same Day"/>
    <s v="AB-14173"/>
    <s v="Arjun Jain"/>
    <x v="1"/>
    <s v="Bengaluru"/>
    <x v="1"/>
    <s v="India"/>
    <n v="753412"/>
    <s v="APAC"/>
    <x v="1"/>
    <s v="TEC-3204"/>
    <s v="OFF::BIN"/>
    <s v="LED Monitor"/>
    <n v="19380.72"/>
    <n v="3"/>
    <n v="20"/>
    <n v="7.29"/>
    <n v="3142.73"/>
    <s v="Medium"/>
    <n v="2025"/>
    <x v="2"/>
    <x v="2"/>
    <s v="Thursday"/>
    <x v="10"/>
    <s v="Corporate"/>
    <n v="58142.16"/>
    <n v="11628.432000000001"/>
    <n v="46513.728000000003"/>
    <n v="49656.458000000006"/>
    <n v="3"/>
  </r>
  <r>
    <n v="83"/>
    <s v="CA-2025-222096"/>
    <d v="2025-10-29T00:00:00"/>
    <d v="2025-11-02T00:00:00"/>
    <s v="Standard Class"/>
    <s v="AB-72695"/>
    <s v="Pooja Nair"/>
    <x v="1"/>
    <s v="Kolkata"/>
    <x v="1"/>
    <s v="India"/>
    <n v="566982"/>
    <s v="APAC"/>
    <x v="0"/>
    <s v="TEC-2120"/>
    <s v="TEC::PH"/>
    <s v="LED Monitor"/>
    <n v="16956.36"/>
    <n v="5"/>
    <n v="20"/>
    <n v="21.05"/>
    <n v="5202.88"/>
    <s v="Critical"/>
    <n v="2025"/>
    <x v="0"/>
    <x v="2"/>
    <s v="Friday"/>
    <x v="11"/>
    <s v="Corporate"/>
    <n v="84781.8"/>
    <n v="16956.36"/>
    <n v="67825.440000000002"/>
    <n v="73028.320000000007"/>
    <n v="4"/>
  </r>
  <r>
    <n v="84"/>
    <s v="CA-2023-210687"/>
    <d v="2025-11-02T00:00:00"/>
    <d v="2025-11-04T00:00:00"/>
    <s v="First Class"/>
    <s v="AB-30324"/>
    <s v="Vivaan Reddy"/>
    <x v="1"/>
    <s v="Pune"/>
    <x v="5"/>
    <s v="India"/>
    <n v="620412"/>
    <s v="APAC"/>
    <x v="3"/>
    <s v="TEC-1950"/>
    <s v="TEC::MON"/>
    <s v="Desk Organizer"/>
    <n v="663.41"/>
    <n v="11"/>
    <n v="25"/>
    <n v="-7.71"/>
    <n v="496.49"/>
    <s v="High"/>
    <n v="2025"/>
    <x v="3"/>
    <x v="2"/>
    <s v="Saturday"/>
    <x v="0"/>
    <s v="Corporate"/>
    <n v="7297.5099999999993"/>
    <n v="1824.3774999999998"/>
    <n v="5473.1324999999997"/>
    <n v="5969.6224999999995"/>
    <n v="2"/>
  </r>
  <r>
    <n v="85"/>
    <s v="CA-2024-835716"/>
    <d v="2025-11-05T00:00:00"/>
    <d v="2025-11-07T00:00:00"/>
    <s v="Standard Class"/>
    <s v="AB-16985"/>
    <s v="Ananya Jain"/>
    <x v="1"/>
    <s v="Kolkata"/>
    <x v="6"/>
    <s v="India"/>
    <n v="419871"/>
    <s v="APAC"/>
    <x v="4"/>
    <s v="TEC-3336"/>
    <s v="FUR::TBL"/>
    <s v="Wireless Mouse"/>
    <n v="1138.8800000000001"/>
    <n v="8"/>
    <n v="0"/>
    <n v="33.58"/>
    <n v="291.64"/>
    <s v="Low"/>
    <n v="2025"/>
    <x v="7"/>
    <x v="2"/>
    <s v="Sunday"/>
    <x v="3"/>
    <s v="Corporate"/>
    <n v="9111.0400000000009"/>
    <n v="0"/>
    <n v="9111.0400000000009"/>
    <n v="9402.68"/>
    <n v="2"/>
  </r>
  <r>
    <n v="86"/>
    <s v="CA-2025-827270"/>
    <d v="2025-11-09T00:00:00"/>
    <d v="2025-11-15T00:00:00"/>
    <s v="First Class"/>
    <s v="AB-82489"/>
    <s v="Arjun Iyer"/>
    <x v="2"/>
    <s v="Ahmedabad"/>
    <x v="2"/>
    <s v="India"/>
    <n v="603197"/>
    <s v="APAC"/>
    <x v="1"/>
    <s v="TEC-6373"/>
    <s v="TEC::PH"/>
    <s v="Office Chair"/>
    <n v="7333.94"/>
    <n v="10"/>
    <n v="0"/>
    <n v="38.67"/>
    <n v="2203.77"/>
    <s v="Critical"/>
    <n v="2025"/>
    <x v="3"/>
    <x v="2"/>
    <s v="Monday"/>
    <x v="11"/>
    <s v="Home Office"/>
    <n v="73339.399999999994"/>
    <n v="0"/>
    <n v="73339.399999999994"/>
    <n v="75543.17"/>
    <n v="6"/>
  </r>
  <r>
    <n v="87"/>
    <s v="CA-2023-298286"/>
    <d v="2025-11-13T00:00:00"/>
    <d v="2025-11-16T00:00:00"/>
    <s v="Standard Class"/>
    <s v="AB-96719"/>
    <s v="Aarav Mehta"/>
    <x v="0"/>
    <s v="Hyderabad"/>
    <x v="6"/>
    <s v="India"/>
    <n v="648684"/>
    <s v="APAC"/>
    <x v="0"/>
    <s v="TEC-3243"/>
    <s v="OFF::BIN"/>
    <s v="Office Chair"/>
    <n v="7183.04"/>
    <n v="7"/>
    <n v="10"/>
    <n v="38.44"/>
    <n v="1321.09"/>
    <s v="High"/>
    <n v="2025"/>
    <x v="1"/>
    <x v="2"/>
    <s v="Tuesday"/>
    <x v="10"/>
    <s v="Consumer"/>
    <n v="50281.279999999999"/>
    <n v="5028.1280000000006"/>
    <n v="45253.152000000002"/>
    <n v="46574.241999999998"/>
    <n v="3"/>
  </r>
  <r>
    <n v="88"/>
    <s v="CA-2025-874684"/>
    <d v="2025-11-16T00:00:00"/>
    <d v="2025-11-17T00:00:00"/>
    <s v="Same Day"/>
    <s v="AB-56555"/>
    <s v="Sai Jain"/>
    <x v="0"/>
    <s v="Kolkata"/>
    <x v="4"/>
    <s v="India"/>
    <n v="634678"/>
    <s v="APAC"/>
    <x v="3"/>
    <s v="TEC-3645"/>
    <s v="TEC::MON"/>
    <s v="Desk Organizer"/>
    <n v="631.24"/>
    <n v="7"/>
    <n v="15"/>
    <n v="27.48"/>
    <n v="257.10000000000002"/>
    <s v="Critical"/>
    <n v="2025"/>
    <x v="0"/>
    <x v="2"/>
    <s v="Wednesday"/>
    <x v="0"/>
    <s v="Consumer"/>
    <n v="4418.68"/>
    <n v="662.80200000000002"/>
    <n v="3755.8780000000002"/>
    <n v="4012.9780000000001"/>
    <n v="1"/>
  </r>
  <r>
    <n v="89"/>
    <s v="CA-2023-424767"/>
    <d v="2025-11-20T00:00:00"/>
    <d v="2025-11-22T00:00:00"/>
    <s v="Standard Class"/>
    <s v="AB-30399"/>
    <s v="Neha Malhotra"/>
    <x v="0"/>
    <s v="Mumbai"/>
    <x v="1"/>
    <s v="India"/>
    <n v="426791"/>
    <s v="APAC"/>
    <x v="3"/>
    <s v="TEC-5612"/>
    <s v="TEC::PH"/>
    <s v="Laptop Stand"/>
    <n v="1565.71"/>
    <n v="7"/>
    <n v="5"/>
    <n v="-3.5"/>
    <n v="683.78"/>
    <s v="Critical"/>
    <n v="2025"/>
    <x v="3"/>
    <x v="2"/>
    <s v="Thursday"/>
    <x v="11"/>
    <s v="Consumer"/>
    <n v="10959.970000000001"/>
    <n v="547.99850000000004"/>
    <n v="10411.971500000001"/>
    <n v="11095.751500000002"/>
    <n v="2"/>
  </r>
  <r>
    <n v="90"/>
    <s v="CA-2025-961882"/>
    <d v="2025-11-24T00:00:00"/>
    <d v="2025-11-30T00:00:00"/>
    <s v="Standard Class"/>
    <s v="AB-28032"/>
    <s v="Diya Reddy"/>
    <x v="0"/>
    <s v="Hyderabad"/>
    <x v="6"/>
    <s v="India"/>
    <n v="518875"/>
    <s v="APAC"/>
    <x v="4"/>
    <s v="TEC-2865"/>
    <s v="FUR::CH"/>
    <s v="Office Chair"/>
    <n v="7195.68"/>
    <n v="8"/>
    <n v="0"/>
    <n v="27.91"/>
    <n v="1260.4100000000001"/>
    <s v="Critical"/>
    <n v="2025"/>
    <x v="6"/>
    <x v="2"/>
    <s v="Friday"/>
    <x v="1"/>
    <s v="Consumer"/>
    <n v="57565.440000000002"/>
    <n v="0"/>
    <n v="57565.440000000002"/>
    <n v="58825.850000000006"/>
    <n v="6"/>
  </r>
  <r>
    <n v="91"/>
    <s v="CA-2025-479989"/>
    <d v="2025-11-27T00:00:00"/>
    <d v="2025-12-02T00:00:00"/>
    <s v="Standard Class"/>
    <s v="AB-85895"/>
    <s v="Krishna Patel"/>
    <x v="0"/>
    <s v="Bengaluru"/>
    <x v="2"/>
    <s v="India"/>
    <n v="687434"/>
    <s v="APAC"/>
    <x v="0"/>
    <s v="TEC-7028"/>
    <s v="TEC::MSW"/>
    <s v="Whiteboard"/>
    <n v="3242.5"/>
    <n v="1"/>
    <n v="20"/>
    <n v="-8.77"/>
    <n v="246.99"/>
    <s v="Critical"/>
    <n v="2025"/>
    <x v="3"/>
    <x v="2"/>
    <s v="Saturday"/>
    <x v="2"/>
    <s v="Consumer"/>
    <n v="3242.5"/>
    <n v="648.5"/>
    <n v="2594"/>
    <n v="2840.99"/>
    <n v="5"/>
  </r>
  <r>
    <n v="92"/>
    <s v="CA-2024-471369"/>
    <d v="2025-12-01T00:00:00"/>
    <d v="2025-12-07T00:00:00"/>
    <s v="Same Day"/>
    <s v="AB-18717"/>
    <s v="Aditya Gupta"/>
    <x v="0"/>
    <s v="Bengaluru"/>
    <x v="5"/>
    <s v="India"/>
    <n v="624787"/>
    <s v="APAC"/>
    <x v="3"/>
    <s v="TEC-8326"/>
    <s v="FUR::TBL"/>
    <s v="Smart Phone"/>
    <n v="44784.45"/>
    <n v="4"/>
    <n v="10"/>
    <n v="-8.89"/>
    <n v="4141.3599999999997"/>
    <s v="Critical"/>
    <n v="2025"/>
    <x v="0"/>
    <x v="3"/>
    <s v="Sunday"/>
    <x v="3"/>
    <s v="Consumer"/>
    <n v="179137.8"/>
    <n v="17913.78"/>
    <n v="161224.01999999999"/>
    <n v="165365.37999999998"/>
    <n v="6"/>
  </r>
  <r>
    <n v="93"/>
    <s v="CA-2023-542296"/>
    <d v="2025-12-05T00:00:00"/>
    <d v="2025-12-07T00:00:00"/>
    <s v="Same Day"/>
    <s v="AB-10399"/>
    <s v="Ayaan Mehta"/>
    <x v="0"/>
    <s v="Kolkata"/>
    <x v="6"/>
    <s v="India"/>
    <n v="415486"/>
    <s v="APAC"/>
    <x v="1"/>
    <s v="TEC-7371"/>
    <s v="TEC::PH"/>
    <s v="LED Monitor"/>
    <n v="19105.580000000002"/>
    <n v="6"/>
    <n v="5"/>
    <n v="6.18"/>
    <n v="6015.71"/>
    <s v="Critical"/>
    <n v="2025"/>
    <x v="5"/>
    <x v="3"/>
    <s v="Monday"/>
    <x v="11"/>
    <s v="Consumer"/>
    <n v="114633.48000000001"/>
    <n v="5731.6740000000009"/>
    <n v="108901.80600000001"/>
    <n v="114917.51600000002"/>
    <n v="2"/>
  </r>
  <r>
    <n v="94"/>
    <s v="CA-2023-626981"/>
    <d v="2025-12-08T00:00:00"/>
    <d v="2025-12-10T00:00:00"/>
    <s v="Same Day"/>
    <s v="AB-10419"/>
    <s v="Vihaan Reddy"/>
    <x v="0"/>
    <s v="Hyderabad"/>
    <x v="0"/>
    <s v="India"/>
    <n v="706627"/>
    <s v="APAC"/>
    <x v="4"/>
    <s v="TEC-7359"/>
    <s v="TEC::MON"/>
    <s v="LED Monitor"/>
    <n v="20116.27"/>
    <n v="9"/>
    <n v="10"/>
    <n v="14.43"/>
    <n v="11323.3"/>
    <s v="High"/>
    <n v="2025"/>
    <x v="6"/>
    <x v="3"/>
    <s v="Tuesday"/>
    <x v="0"/>
    <s v="Consumer"/>
    <n v="181046.43"/>
    <n v="18104.643"/>
    <n v="162941.78699999998"/>
    <n v="174265.08699999997"/>
    <n v="2"/>
  </r>
  <r>
    <n v="95"/>
    <s v="CA-2024-252906"/>
    <d v="2025-12-12T00:00:00"/>
    <d v="2025-12-18T00:00:00"/>
    <s v="Same Day"/>
    <s v="AB-50958"/>
    <s v="Sai Verma"/>
    <x v="2"/>
    <s v="Ahmedabad"/>
    <x v="5"/>
    <s v="India"/>
    <n v="486189"/>
    <s v="APAC"/>
    <x v="0"/>
    <s v="TEC-8863"/>
    <s v="FUR::CH"/>
    <s v="Whiteboard"/>
    <n v="3348.85"/>
    <n v="2"/>
    <n v="5"/>
    <n v="28.52"/>
    <n v="483.96"/>
    <s v="Low"/>
    <n v="2025"/>
    <x v="3"/>
    <x v="3"/>
    <s v="Wednesday"/>
    <x v="1"/>
    <s v="Home Office"/>
    <n v="6697.7"/>
    <n v="334.88499999999999"/>
    <n v="6362.8149999999996"/>
    <n v="6846.7749999999996"/>
    <n v="6"/>
  </r>
  <r>
    <n v="96"/>
    <s v="CA-2024-175766"/>
    <d v="2025-12-16T00:00:00"/>
    <d v="2025-12-17T00:00:00"/>
    <s v="First Class"/>
    <s v="AB-57941"/>
    <s v="Pooja Malhotra"/>
    <x v="0"/>
    <s v="Ahmedabad"/>
    <x v="2"/>
    <s v="India"/>
    <n v="404749"/>
    <s v="APAC"/>
    <x v="4"/>
    <s v="TEC-4228"/>
    <s v="OFF::ART"/>
    <s v="Wireless Mouse"/>
    <n v="1131.5899999999999"/>
    <n v="1"/>
    <n v="5"/>
    <n v="24.16"/>
    <n v="71.12"/>
    <s v="Medium"/>
    <n v="2025"/>
    <x v="4"/>
    <x v="3"/>
    <s v="Thursday"/>
    <x v="8"/>
    <s v="Consumer"/>
    <n v="1131.5899999999999"/>
    <n v="56.579499999999996"/>
    <n v="1075.0104999999999"/>
    <n v="1146.1304999999998"/>
    <n v="1"/>
  </r>
  <r>
    <n v="97"/>
    <s v="CA-2023-668550"/>
    <d v="2025-12-19T00:00:00"/>
    <d v="2025-12-23T00:00:00"/>
    <s v="First Class"/>
    <s v="AB-39204"/>
    <s v="Priya Jain"/>
    <x v="2"/>
    <s v="Chennai"/>
    <x v="4"/>
    <s v="India"/>
    <n v="617842"/>
    <s v="APAC"/>
    <x v="1"/>
    <s v="TEC-4719"/>
    <s v="TEC::MON"/>
    <s v="Office Chair"/>
    <n v="6796.77"/>
    <n v="10"/>
    <n v="25"/>
    <n v="12.3"/>
    <n v="4628.8500000000004"/>
    <s v="Critical"/>
    <n v="2025"/>
    <x v="4"/>
    <x v="3"/>
    <s v="Friday"/>
    <x v="0"/>
    <s v="Home Office"/>
    <n v="67967.700000000012"/>
    <n v="16991.925000000003"/>
    <n v="50975.775000000009"/>
    <n v="55604.625000000007"/>
    <n v="4"/>
  </r>
  <r>
    <n v="98"/>
    <s v="CA-2024-910208"/>
    <d v="2025-12-23T00:00:00"/>
    <d v="2025-12-25T00:00:00"/>
    <s v="Second Class"/>
    <s v="AB-22778"/>
    <s v="Rohan Reddy"/>
    <x v="1"/>
    <s v="Bengaluru"/>
    <x v="1"/>
    <s v="India"/>
    <n v="540508"/>
    <s v="APAC"/>
    <x v="0"/>
    <s v="TEC-3371"/>
    <s v="TEC::MSW"/>
    <s v="LED Monitor"/>
    <n v="17620.38"/>
    <n v="2"/>
    <n v="0"/>
    <n v="3.68"/>
    <n v="1422.56"/>
    <s v="Medium"/>
    <n v="2025"/>
    <x v="3"/>
    <x v="3"/>
    <s v="Saturday"/>
    <x v="2"/>
    <s v="Corporate"/>
    <n v="35240.76"/>
    <n v="0"/>
    <n v="35240.76"/>
    <n v="36663.32"/>
    <n v="2"/>
  </r>
  <r>
    <n v="99"/>
    <s v="CA-2023-752664"/>
    <d v="2025-12-27T00:00:00"/>
    <d v="2026-01-02T00:00:00"/>
    <s v="Same Day"/>
    <s v="AB-28399"/>
    <s v="Sai Gupta"/>
    <x v="0"/>
    <s v="Delhi"/>
    <x v="6"/>
    <s v="India"/>
    <n v="665854"/>
    <s v="APAC"/>
    <x v="4"/>
    <s v="TEC-3891"/>
    <s v="TEC::MON"/>
    <s v="File Cabinet"/>
    <n v="12228.19"/>
    <n v="7"/>
    <n v="10"/>
    <n v="39.86"/>
    <n v="5896.76"/>
    <s v="High"/>
    <n v="2025"/>
    <x v="5"/>
    <x v="3"/>
    <s v="Sunday"/>
    <x v="0"/>
    <s v="Consumer"/>
    <n v="85597.33"/>
    <n v="8559.7330000000002"/>
    <n v="77037.597000000009"/>
    <n v="82934.357000000004"/>
    <n v="6"/>
  </r>
  <r>
    <n v="100"/>
    <s v="CA-2025-554589"/>
    <d v="2025-12-31T00:00:00"/>
    <d v="2026-01-06T00:00:00"/>
    <s v="First Class"/>
    <s v="AB-70115"/>
    <s v="Vivaan Reddy"/>
    <x v="1"/>
    <s v="Chennai"/>
    <x v="2"/>
    <s v="India"/>
    <n v="523962"/>
    <s v="APAC"/>
    <x v="2"/>
    <s v="TEC-4756"/>
    <s v="FUR::CH"/>
    <s v="Wireless Mouse"/>
    <n v="1092.3399999999999"/>
    <n v="3"/>
    <n v="10"/>
    <n v="11.31"/>
    <n v="81.290000000000006"/>
    <s v="Critical"/>
    <n v="2025"/>
    <x v="7"/>
    <x v="3"/>
    <s v="Monday"/>
    <x v="1"/>
    <s v="Corporate"/>
    <n v="3277.0199999999995"/>
    <n v="327.702"/>
    <n v="2949.3179999999993"/>
    <n v="3030.6079999999993"/>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866C32-B06F-48E9-85E6-100A33535E9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8" firstHeaderRow="1" firstDataRow="1" firstDataCol="0"/>
  <pivotFields count="3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items count="8">
        <item x="6"/>
        <item x="0"/>
        <item x="4"/>
        <item x="2"/>
        <item x="3"/>
        <item x="1"/>
        <item x="5"/>
        <item t="default"/>
      </items>
    </pivotField>
    <pivotField showAll="0"/>
    <pivotField showAll="0"/>
    <pivotField showAll="0"/>
    <pivotField showAll="0">
      <items count="6">
        <item x="0"/>
        <item x="2"/>
        <item x="1"/>
        <item x="4"/>
        <item x="3"/>
        <item t="default"/>
      </items>
    </pivotField>
    <pivotField showAll="0"/>
    <pivotField showAll="0"/>
    <pivotField showAll="0"/>
    <pivotField numFmtId="4" showAll="0"/>
    <pivotField showAll="0"/>
    <pivotField showAll="0"/>
    <pivotField numFmtId="4" showAll="0"/>
    <pivotField numFmtId="4" showAll="0"/>
    <pivotField showAll="0"/>
    <pivotField showAll="0"/>
    <pivotField showAll="0">
      <items count="9">
        <item x="1"/>
        <item x="5"/>
        <item x="3"/>
        <item x="4"/>
        <item x="6"/>
        <item x="7"/>
        <item x="0"/>
        <item x="2"/>
        <item t="default"/>
      </items>
    </pivotField>
    <pivotField showAll="0"/>
    <pivotField showAll="0"/>
    <pivotField showAll="0"/>
    <pivotField showAll="0"/>
    <pivotField showAll="0"/>
    <pivotField showAll="0"/>
    <pivotField showAll="0"/>
    <pivotField numFmtId="4"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BF87DB-67F1-4DD6-B8F3-2067F69130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9" firstHeaderRow="1" firstDataRow="1" firstDataCol="1"/>
  <pivotFields count="3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axis="axisRow" showAll="0">
      <items count="8">
        <item x="6"/>
        <item x="0"/>
        <item x="4"/>
        <item x="2"/>
        <item x="3"/>
        <item x="1"/>
        <item x="5"/>
        <item t="default"/>
      </items>
    </pivotField>
    <pivotField showAll="0"/>
    <pivotField showAll="0"/>
    <pivotField showAll="0"/>
    <pivotField showAll="0">
      <items count="6">
        <item x="0"/>
        <item x="2"/>
        <item x="1"/>
        <item x="4"/>
        <item x="3"/>
        <item t="default"/>
      </items>
    </pivotField>
    <pivotField showAll="0"/>
    <pivotField showAll="0"/>
    <pivotField showAll="0"/>
    <pivotField numFmtId="4" showAll="0"/>
    <pivotField showAll="0"/>
    <pivotField showAll="0"/>
    <pivotField numFmtId="4" showAll="0"/>
    <pivotField numFmtId="4" showAll="0"/>
    <pivotField showAll="0"/>
    <pivotField showAll="0"/>
    <pivotField showAll="0">
      <items count="9">
        <item x="1"/>
        <item x="5"/>
        <item x="3"/>
        <item x="4"/>
        <item x="6"/>
        <item x="7"/>
        <item x="0"/>
        <item x="2"/>
        <item t="default"/>
      </items>
    </pivotField>
    <pivotField showAll="0"/>
    <pivotField showAll="0"/>
    <pivotField showAll="0"/>
    <pivotField showAll="0"/>
    <pivotField showAll="0"/>
    <pivotField showAll="0"/>
    <pivotField dataField="1" showAll="0"/>
    <pivotField numFmtId="4" showAll="0"/>
    <pivotField showAll="0"/>
  </pivotFields>
  <rowFields count="1">
    <field x="9"/>
  </rowFields>
  <rowItems count="8">
    <i>
      <x/>
    </i>
    <i>
      <x v="1"/>
    </i>
    <i>
      <x v="2"/>
    </i>
    <i>
      <x v="3"/>
    </i>
    <i>
      <x v="4"/>
    </i>
    <i>
      <x v="5"/>
    </i>
    <i>
      <x v="6"/>
    </i>
    <i t="grand">
      <x/>
    </i>
  </rowItems>
  <colItems count="1">
    <i/>
  </colItems>
  <dataFields count="1">
    <dataField name="Sum of Net Revenue"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BCDF9E-B392-4F08-B472-C0D9EE06B4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10" firstHeaderRow="0" firstDataRow="1" firstDataCol="1"/>
  <pivotFields count="3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items count="8">
        <item x="6"/>
        <item x="0"/>
        <item x="4"/>
        <item x="2"/>
        <item x="3"/>
        <item x="1"/>
        <item x="5"/>
        <item t="default"/>
      </items>
    </pivotField>
    <pivotField showAll="0"/>
    <pivotField showAll="0"/>
    <pivotField showAll="0"/>
    <pivotField showAll="0">
      <items count="6">
        <item x="0"/>
        <item x="2"/>
        <item x="1"/>
        <item x="4"/>
        <item x="3"/>
        <item t="default"/>
      </items>
    </pivotField>
    <pivotField showAll="0"/>
    <pivotField showAll="0"/>
    <pivotField showAll="0"/>
    <pivotField numFmtId="4" showAll="0"/>
    <pivotField showAll="0"/>
    <pivotField showAll="0"/>
    <pivotField dataField="1" numFmtId="4" showAll="0"/>
    <pivotField numFmtId="4" showAll="0"/>
    <pivotField showAll="0"/>
    <pivotField showAll="0"/>
    <pivotField axis="axisRow" showAll="0">
      <items count="9">
        <item x="1"/>
        <item x="5"/>
        <item x="3"/>
        <item x="4"/>
        <item x="6"/>
        <item x="7"/>
        <item x="0"/>
        <item x="2"/>
        <item t="default"/>
      </items>
    </pivotField>
    <pivotField showAll="0"/>
    <pivotField showAll="0"/>
    <pivotField showAll="0"/>
    <pivotField showAll="0"/>
    <pivotField showAll="0"/>
    <pivotField showAll="0"/>
    <pivotField dataField="1" showAll="0"/>
    <pivotField numFmtId="4" showAll="0"/>
    <pivotField showAll="0"/>
  </pivotFields>
  <rowFields count="1">
    <field x="24"/>
  </rowFields>
  <rowItems count="9">
    <i>
      <x/>
    </i>
    <i>
      <x v="1"/>
    </i>
    <i>
      <x v="2"/>
    </i>
    <i>
      <x v="3"/>
    </i>
    <i>
      <x v="4"/>
    </i>
    <i>
      <x v="5"/>
    </i>
    <i>
      <x v="6"/>
    </i>
    <i>
      <x v="7"/>
    </i>
    <i t="grand">
      <x/>
    </i>
  </rowItems>
  <colFields count="1">
    <field x="-2"/>
  </colFields>
  <colItems count="2">
    <i>
      <x/>
    </i>
    <i i="1">
      <x v="1"/>
    </i>
  </colItems>
  <dataFields count="2">
    <dataField name="Sum of Net Revenue" fld="31" baseField="0" baseItem="0"/>
    <dataField name="Average of Profit" fld="20" subtotal="average" baseField="24" baseItem="0" numFmtId="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616E99-8D1E-4EDF-BF2A-E7081A9B1B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7" firstHeaderRow="0" firstDataRow="1" firstDataCol="1"/>
  <pivotFields count="3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items count="8">
        <item x="6"/>
        <item x="0"/>
        <item x="4"/>
        <item x="2"/>
        <item x="3"/>
        <item x="1"/>
        <item x="5"/>
        <item t="default"/>
      </items>
    </pivotField>
    <pivotField showAll="0"/>
    <pivotField showAll="0"/>
    <pivotField showAll="0"/>
    <pivotField axis="axisRow" showAll="0">
      <items count="6">
        <item x="0"/>
        <item x="2"/>
        <item x="1"/>
        <item x="4"/>
        <item x="3"/>
        <item t="default"/>
      </items>
    </pivotField>
    <pivotField showAll="0"/>
    <pivotField showAll="0"/>
    <pivotField showAll="0"/>
    <pivotField numFmtId="4" showAll="0"/>
    <pivotField dataField="1" showAll="0"/>
    <pivotField showAll="0"/>
    <pivotField numFmtId="4" showAll="0"/>
    <pivotField numFmtId="4" showAll="0"/>
    <pivotField showAll="0"/>
    <pivotField showAll="0"/>
    <pivotField showAll="0">
      <items count="9">
        <item x="1"/>
        <item x="5"/>
        <item x="3"/>
        <item x="4"/>
        <item x="6"/>
        <item x="7"/>
        <item x="0"/>
        <item x="2"/>
        <item t="default"/>
      </items>
    </pivotField>
    <pivotField showAll="0"/>
    <pivotField showAll="0"/>
    <pivotField dataField="1" showAll="0"/>
    <pivotField showAll="0"/>
    <pivotField showAll="0"/>
    <pivotField showAll="0"/>
    <pivotField showAll="0"/>
    <pivotField numFmtId="4" showAll="0"/>
    <pivotField showAll="0"/>
  </pivotFields>
  <rowFields count="1">
    <field x="13"/>
  </rowFields>
  <rowItems count="6">
    <i>
      <x/>
    </i>
    <i>
      <x v="1"/>
    </i>
    <i>
      <x v="2"/>
    </i>
    <i>
      <x v="3"/>
    </i>
    <i>
      <x v="4"/>
    </i>
    <i t="grand">
      <x/>
    </i>
  </rowItems>
  <colFields count="1">
    <field x="-2"/>
  </colFields>
  <colItems count="2">
    <i>
      <x/>
    </i>
    <i i="1">
      <x v="1"/>
    </i>
  </colItems>
  <dataFields count="2">
    <dataField name="Count of Sub_Category" fld="27" subtotal="count" baseField="0" baseItem="0"/>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01B77E-3FC3-4F27-8482-C7AC46659F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5" firstHeaderRow="0" firstDataRow="1" firstDataCol="1"/>
  <pivotFields count="34">
    <pivotField showAll="0"/>
    <pivotField dataField="1" showAll="0"/>
    <pivotField numFmtId="164" showAll="0"/>
    <pivotField numFmtId="164" showAll="0"/>
    <pivotField showAll="0"/>
    <pivotField showAll="0"/>
    <pivotField showAll="0"/>
    <pivotField axis="axisRow" showAll="0">
      <items count="4">
        <item x="0"/>
        <item x="1"/>
        <item x="2"/>
        <item t="default"/>
      </items>
    </pivotField>
    <pivotField showAll="0"/>
    <pivotField showAll="0">
      <items count="8">
        <item x="6"/>
        <item x="0"/>
        <item x="4"/>
        <item x="2"/>
        <item x="3"/>
        <item x="1"/>
        <item x="5"/>
        <item t="default"/>
      </items>
    </pivotField>
    <pivotField showAll="0"/>
    <pivotField showAll="0"/>
    <pivotField showAll="0"/>
    <pivotField showAll="0">
      <items count="6">
        <item x="0"/>
        <item x="2"/>
        <item x="1"/>
        <item x="4"/>
        <item x="3"/>
        <item t="default"/>
      </items>
    </pivotField>
    <pivotField showAll="0"/>
    <pivotField showAll="0"/>
    <pivotField showAll="0"/>
    <pivotField numFmtId="4" showAll="0"/>
    <pivotField showAll="0"/>
    <pivotField showAll="0"/>
    <pivotField numFmtId="4" showAll="0"/>
    <pivotField numFmtId="4" showAll="0"/>
    <pivotField dataField="1" showAll="0"/>
    <pivotField showAll="0"/>
    <pivotField showAll="0">
      <items count="9">
        <item x="1"/>
        <item x="5"/>
        <item x="3"/>
        <item x="4"/>
        <item x="6"/>
        <item x="7"/>
        <item x="0"/>
        <item x="2"/>
        <item t="default"/>
      </items>
    </pivotField>
    <pivotField showAll="0"/>
    <pivotField showAll="0"/>
    <pivotField showAll="0"/>
    <pivotField showAll="0"/>
    <pivotField showAll="0"/>
    <pivotField showAll="0"/>
    <pivotField showAll="0"/>
    <pivotField numFmtId="4" showAll="0"/>
    <pivotField showAll="0"/>
  </pivotFields>
  <rowFields count="1">
    <field x="7"/>
  </rowFields>
  <rowItems count="4">
    <i>
      <x/>
    </i>
    <i>
      <x v="1"/>
    </i>
    <i>
      <x v="2"/>
    </i>
    <i t="grand">
      <x/>
    </i>
  </rowItems>
  <colFields count="1">
    <field x="-2"/>
  </colFields>
  <colItems count="2">
    <i>
      <x/>
    </i>
    <i i="1">
      <x v="1"/>
    </i>
  </colItems>
  <dataFields count="2">
    <dataField name="Count of Order Priority" fld="22" subtotal="count" baseField="0" baseItem="0"/>
    <dataField name="Sum of Order ID" fld="1"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AB680D-66A2-486A-A7CC-D783E974D0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et">
  <location ref="A1:C6" firstHeaderRow="0" firstDataRow="1" firstDataCol="1"/>
  <pivotFields count="3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items count="8">
        <item x="6"/>
        <item x="0"/>
        <item x="4"/>
        <item x="2"/>
        <item x="3"/>
        <item x="1"/>
        <item x="5"/>
        <item t="default"/>
      </items>
    </pivotField>
    <pivotField showAll="0"/>
    <pivotField showAll="0"/>
    <pivotField showAll="0"/>
    <pivotField showAll="0">
      <items count="6">
        <item x="0"/>
        <item x="2"/>
        <item x="1"/>
        <item x="4"/>
        <item x="3"/>
        <item t="default"/>
      </items>
    </pivotField>
    <pivotField showAll="0"/>
    <pivotField showAll="0"/>
    <pivotField showAll="0"/>
    <pivotField numFmtId="4" showAll="0"/>
    <pivotField dataField="1" showAll="0"/>
    <pivotField showAll="0"/>
    <pivotField numFmtId="4" showAll="0"/>
    <pivotField numFmtId="4" showAll="0"/>
    <pivotField showAll="0"/>
    <pivotField showAll="0"/>
    <pivotField showAll="0">
      <items count="9">
        <item x="1"/>
        <item x="5"/>
        <item x="3"/>
        <item x="4"/>
        <item x="6"/>
        <item x="7"/>
        <item x="0"/>
        <item x="2"/>
        <item t="default"/>
      </items>
    </pivotField>
    <pivotField axis="axisRow" showAll="0">
      <items count="5">
        <item x="0"/>
        <item x="1"/>
        <item x="2"/>
        <item x="3"/>
        <item t="default"/>
      </items>
    </pivotField>
    <pivotField showAll="0"/>
    <pivotField showAll="0"/>
    <pivotField showAll="0"/>
    <pivotField showAll="0"/>
    <pivotField showAll="0"/>
    <pivotField dataField="1" showAll="0"/>
    <pivotField numFmtId="4" showAll="0"/>
    <pivotField showAll="0"/>
  </pivotFields>
  <rowFields count="1">
    <field x="25"/>
  </rowFields>
  <rowItems count="5">
    <i>
      <x/>
    </i>
    <i>
      <x v="1"/>
    </i>
    <i>
      <x v="2"/>
    </i>
    <i>
      <x v="3"/>
    </i>
    <i t="grand">
      <x/>
    </i>
  </rowItems>
  <colFields count="1">
    <field x="-2"/>
  </colFields>
  <colItems count="2">
    <i>
      <x/>
    </i>
    <i i="1">
      <x v="1"/>
    </i>
  </colItems>
  <dataFields count="2">
    <dataField name="Sum of Net Revenue" fld="31" baseField="0" baseItem="0"/>
    <dataField name="Sum of Quantity" fld="1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1C91E1-F601-4AB1-86CA-E8EAADED4D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4" firstHeaderRow="1" firstDataRow="1" firstDataCol="1"/>
  <pivotFields count="3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items count="8">
        <item x="6"/>
        <item x="0"/>
        <item x="4"/>
        <item x="2"/>
        <item x="3"/>
        <item x="1"/>
        <item x="5"/>
        <item t="default"/>
      </items>
    </pivotField>
    <pivotField showAll="0"/>
    <pivotField showAll="0"/>
    <pivotField showAll="0"/>
    <pivotField showAll="0">
      <items count="6">
        <item x="0"/>
        <item x="2"/>
        <item x="1"/>
        <item x="4"/>
        <item x="3"/>
        <item t="default"/>
      </items>
    </pivotField>
    <pivotField showAll="0"/>
    <pivotField showAll="0"/>
    <pivotField showAll="0"/>
    <pivotField numFmtId="4" showAll="0"/>
    <pivotField showAll="0"/>
    <pivotField showAll="0"/>
    <pivotField numFmtId="4" showAll="0"/>
    <pivotField numFmtId="4" showAll="0"/>
    <pivotField showAll="0"/>
    <pivotField showAll="0"/>
    <pivotField showAll="0">
      <items count="9">
        <item x="1"/>
        <item x="5"/>
        <item x="3"/>
        <item x="4"/>
        <item x="6"/>
        <item x="7"/>
        <item x="0"/>
        <item x="2"/>
        <item t="default"/>
      </items>
    </pivotField>
    <pivotField showAll="0"/>
    <pivotField showAll="0"/>
    <pivotField axis="axisRow" showAll="0">
      <items count="13">
        <item x="0"/>
        <item x="5"/>
        <item x="8"/>
        <item x="10"/>
        <item x="9"/>
        <item x="1"/>
        <item x="2"/>
        <item x="11"/>
        <item x="4"/>
        <item x="6"/>
        <item x="3"/>
        <item x="7"/>
        <item t="default"/>
      </items>
    </pivotField>
    <pivotField showAll="0"/>
    <pivotField showAll="0"/>
    <pivotField showAll="0"/>
    <pivotField dataField="1" showAll="0"/>
    <pivotField numFmtId="4" showAll="0"/>
    <pivotField showAll="0"/>
  </pivotFields>
  <rowFields count="1">
    <field x="27"/>
  </rowFields>
  <rowItems count="13">
    <i>
      <x/>
    </i>
    <i>
      <x v="1"/>
    </i>
    <i>
      <x v="2"/>
    </i>
    <i>
      <x v="3"/>
    </i>
    <i>
      <x v="4"/>
    </i>
    <i>
      <x v="5"/>
    </i>
    <i>
      <x v="6"/>
    </i>
    <i>
      <x v="7"/>
    </i>
    <i>
      <x v="8"/>
    </i>
    <i>
      <x v="9"/>
    </i>
    <i>
      <x v="10"/>
    </i>
    <i>
      <x v="11"/>
    </i>
    <i t="grand">
      <x/>
    </i>
  </rowItems>
  <colItems count="1">
    <i/>
  </colItems>
  <dataFields count="1">
    <dataField name="Sum of Net Revenue" fld="31" baseField="0" baseItem="0"/>
  </dataFields>
  <chartFormats count="26">
    <chartFormat chart="0" format="0" series="1">
      <pivotArea type="data" outline="0" fieldPosition="0">
        <references count="1">
          <reference field="4294967294" count="1" selected="0">
            <x v="0"/>
          </reference>
        </references>
      </pivotArea>
    </chartFormat>
    <chartFormat chart="6" format="27" series="1">
      <pivotArea type="data" outline="0" fieldPosition="0">
        <references count="1">
          <reference field="4294967294" count="1" selected="0">
            <x v="0"/>
          </reference>
        </references>
      </pivotArea>
    </chartFormat>
    <chartFormat chart="6" format="28">
      <pivotArea type="data" outline="0" fieldPosition="0">
        <references count="2">
          <reference field="4294967294" count="1" selected="0">
            <x v="0"/>
          </reference>
          <reference field="27" count="1" selected="0">
            <x v="0"/>
          </reference>
        </references>
      </pivotArea>
    </chartFormat>
    <chartFormat chart="6" format="29">
      <pivotArea type="data" outline="0" fieldPosition="0">
        <references count="2">
          <reference field="4294967294" count="1" selected="0">
            <x v="0"/>
          </reference>
          <reference field="27" count="1" selected="0">
            <x v="1"/>
          </reference>
        </references>
      </pivotArea>
    </chartFormat>
    <chartFormat chart="6" format="30">
      <pivotArea type="data" outline="0" fieldPosition="0">
        <references count="2">
          <reference field="4294967294" count="1" selected="0">
            <x v="0"/>
          </reference>
          <reference field="27" count="1" selected="0">
            <x v="2"/>
          </reference>
        </references>
      </pivotArea>
    </chartFormat>
    <chartFormat chart="6" format="31">
      <pivotArea type="data" outline="0" fieldPosition="0">
        <references count="2">
          <reference field="4294967294" count="1" selected="0">
            <x v="0"/>
          </reference>
          <reference field="27" count="1" selected="0">
            <x v="3"/>
          </reference>
        </references>
      </pivotArea>
    </chartFormat>
    <chartFormat chart="6" format="32">
      <pivotArea type="data" outline="0" fieldPosition="0">
        <references count="2">
          <reference field="4294967294" count="1" selected="0">
            <x v="0"/>
          </reference>
          <reference field="27" count="1" selected="0">
            <x v="4"/>
          </reference>
        </references>
      </pivotArea>
    </chartFormat>
    <chartFormat chart="6" format="33">
      <pivotArea type="data" outline="0" fieldPosition="0">
        <references count="2">
          <reference field="4294967294" count="1" selected="0">
            <x v="0"/>
          </reference>
          <reference field="27" count="1" selected="0">
            <x v="5"/>
          </reference>
        </references>
      </pivotArea>
    </chartFormat>
    <chartFormat chart="6" format="34">
      <pivotArea type="data" outline="0" fieldPosition="0">
        <references count="2">
          <reference field="4294967294" count="1" selected="0">
            <x v="0"/>
          </reference>
          <reference field="27" count="1" selected="0">
            <x v="6"/>
          </reference>
        </references>
      </pivotArea>
    </chartFormat>
    <chartFormat chart="6" format="35">
      <pivotArea type="data" outline="0" fieldPosition="0">
        <references count="2">
          <reference field="4294967294" count="1" selected="0">
            <x v="0"/>
          </reference>
          <reference field="27" count="1" selected="0">
            <x v="7"/>
          </reference>
        </references>
      </pivotArea>
    </chartFormat>
    <chartFormat chart="6" format="36">
      <pivotArea type="data" outline="0" fieldPosition="0">
        <references count="2">
          <reference field="4294967294" count="1" selected="0">
            <x v="0"/>
          </reference>
          <reference field="27" count="1" selected="0">
            <x v="8"/>
          </reference>
        </references>
      </pivotArea>
    </chartFormat>
    <chartFormat chart="6" format="37">
      <pivotArea type="data" outline="0" fieldPosition="0">
        <references count="2">
          <reference field="4294967294" count="1" selected="0">
            <x v="0"/>
          </reference>
          <reference field="27" count="1" selected="0">
            <x v="9"/>
          </reference>
        </references>
      </pivotArea>
    </chartFormat>
    <chartFormat chart="6" format="38">
      <pivotArea type="data" outline="0" fieldPosition="0">
        <references count="2">
          <reference field="4294967294" count="1" selected="0">
            <x v="0"/>
          </reference>
          <reference field="27" count="1" selected="0">
            <x v="10"/>
          </reference>
        </references>
      </pivotArea>
    </chartFormat>
    <chartFormat chart="6" format="39">
      <pivotArea type="data" outline="0" fieldPosition="0">
        <references count="2">
          <reference field="4294967294" count="1" selected="0">
            <x v="0"/>
          </reference>
          <reference field="27" count="1" selected="0">
            <x v="11"/>
          </reference>
        </references>
      </pivotArea>
    </chartFormat>
    <chartFormat chart="0" format="1">
      <pivotArea type="data" outline="0" fieldPosition="0">
        <references count="2">
          <reference field="4294967294" count="1" selected="0">
            <x v="0"/>
          </reference>
          <reference field="27" count="1" selected="0">
            <x v="0"/>
          </reference>
        </references>
      </pivotArea>
    </chartFormat>
    <chartFormat chart="0" format="2">
      <pivotArea type="data" outline="0" fieldPosition="0">
        <references count="2">
          <reference field="4294967294" count="1" selected="0">
            <x v="0"/>
          </reference>
          <reference field="27" count="1" selected="0">
            <x v="1"/>
          </reference>
        </references>
      </pivotArea>
    </chartFormat>
    <chartFormat chart="0" format="3">
      <pivotArea type="data" outline="0" fieldPosition="0">
        <references count="2">
          <reference field="4294967294" count="1" selected="0">
            <x v="0"/>
          </reference>
          <reference field="27" count="1" selected="0">
            <x v="2"/>
          </reference>
        </references>
      </pivotArea>
    </chartFormat>
    <chartFormat chart="0" format="4">
      <pivotArea type="data" outline="0" fieldPosition="0">
        <references count="2">
          <reference field="4294967294" count="1" selected="0">
            <x v="0"/>
          </reference>
          <reference field="27" count="1" selected="0">
            <x v="3"/>
          </reference>
        </references>
      </pivotArea>
    </chartFormat>
    <chartFormat chart="0" format="5">
      <pivotArea type="data" outline="0" fieldPosition="0">
        <references count="2">
          <reference field="4294967294" count="1" selected="0">
            <x v="0"/>
          </reference>
          <reference field="27" count="1" selected="0">
            <x v="4"/>
          </reference>
        </references>
      </pivotArea>
    </chartFormat>
    <chartFormat chart="0" format="6">
      <pivotArea type="data" outline="0" fieldPosition="0">
        <references count="2">
          <reference field="4294967294" count="1" selected="0">
            <x v="0"/>
          </reference>
          <reference field="27" count="1" selected="0">
            <x v="5"/>
          </reference>
        </references>
      </pivotArea>
    </chartFormat>
    <chartFormat chart="0" format="7">
      <pivotArea type="data" outline="0" fieldPosition="0">
        <references count="2">
          <reference field="4294967294" count="1" selected="0">
            <x v="0"/>
          </reference>
          <reference field="27" count="1" selected="0">
            <x v="6"/>
          </reference>
        </references>
      </pivotArea>
    </chartFormat>
    <chartFormat chart="0" format="8">
      <pivotArea type="data" outline="0" fieldPosition="0">
        <references count="2">
          <reference field="4294967294" count="1" selected="0">
            <x v="0"/>
          </reference>
          <reference field="27" count="1" selected="0">
            <x v="7"/>
          </reference>
        </references>
      </pivotArea>
    </chartFormat>
    <chartFormat chart="0" format="9">
      <pivotArea type="data" outline="0" fieldPosition="0">
        <references count="2">
          <reference field="4294967294" count="1" selected="0">
            <x v="0"/>
          </reference>
          <reference field="27" count="1" selected="0">
            <x v="8"/>
          </reference>
        </references>
      </pivotArea>
    </chartFormat>
    <chartFormat chart="0" format="10">
      <pivotArea type="data" outline="0" fieldPosition="0">
        <references count="2">
          <reference field="4294967294" count="1" selected="0">
            <x v="0"/>
          </reference>
          <reference field="27" count="1" selected="0">
            <x v="9"/>
          </reference>
        </references>
      </pivotArea>
    </chartFormat>
    <chartFormat chart="0" format="11">
      <pivotArea type="data" outline="0" fieldPosition="0">
        <references count="2">
          <reference field="4294967294" count="1" selected="0">
            <x v="0"/>
          </reference>
          <reference field="27" count="1" selected="0">
            <x v="10"/>
          </reference>
        </references>
      </pivotArea>
    </chartFormat>
    <chartFormat chart="0" format="12">
      <pivotArea type="data" outline="0" fieldPosition="0">
        <references count="2">
          <reference field="4294967294" count="1" selected="0">
            <x v="0"/>
          </reference>
          <reference field="2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807B18-46F7-4C24-B9D3-8139D5F6F3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7" firstHeaderRow="1" firstDataRow="1" firstDataCol="1"/>
  <pivotFields count="34">
    <pivotField showAll="0"/>
    <pivotField showAll="0"/>
    <pivotField numFmtId="164" showAll="0"/>
    <pivotField numFmtId="164" showAll="0"/>
    <pivotField showAll="0"/>
    <pivotField showAll="0"/>
    <pivotField showAll="0"/>
    <pivotField showAll="0">
      <items count="4">
        <item x="0"/>
        <item x="1"/>
        <item x="2"/>
        <item t="default"/>
      </items>
    </pivotField>
    <pivotField showAll="0"/>
    <pivotField showAll="0">
      <items count="8">
        <item x="6"/>
        <item x="0"/>
        <item x="4"/>
        <item x="2"/>
        <item x="3"/>
        <item x="1"/>
        <item x="5"/>
        <item t="default"/>
      </items>
    </pivotField>
    <pivotField showAll="0"/>
    <pivotField showAll="0"/>
    <pivotField showAll="0"/>
    <pivotField axis="axisRow" showAll="0">
      <items count="6">
        <item x="0"/>
        <item x="2"/>
        <item x="1"/>
        <item x="4"/>
        <item x="3"/>
        <item t="default"/>
      </items>
    </pivotField>
    <pivotField showAll="0"/>
    <pivotField showAll="0"/>
    <pivotField showAll="0"/>
    <pivotField numFmtId="4" showAll="0"/>
    <pivotField showAll="0"/>
    <pivotField showAll="0"/>
    <pivotField dataField="1" numFmtId="4" showAll="0"/>
    <pivotField numFmtId="4" showAll="0"/>
    <pivotField showAll="0"/>
    <pivotField showAll="0"/>
    <pivotField showAll="0">
      <items count="9">
        <item x="1"/>
        <item x="5"/>
        <item x="3"/>
        <item x="4"/>
        <item x="6"/>
        <item x="7"/>
        <item x="0"/>
        <item x="2"/>
        <item t="default"/>
      </items>
    </pivotField>
    <pivotField showAll="0"/>
    <pivotField showAll="0"/>
    <pivotField showAll="0"/>
    <pivotField showAll="0"/>
    <pivotField showAll="0"/>
    <pivotField showAll="0"/>
    <pivotField showAll="0"/>
    <pivotField numFmtId="4" showAll="0"/>
    <pivotField showAll="0"/>
  </pivotFields>
  <rowFields count="1">
    <field x="13"/>
  </rowFields>
  <rowItems count="6">
    <i>
      <x/>
    </i>
    <i>
      <x v="1"/>
    </i>
    <i>
      <x v="2"/>
    </i>
    <i>
      <x v="3"/>
    </i>
    <i>
      <x v="4"/>
    </i>
    <i t="grand">
      <x/>
    </i>
  </rowItems>
  <colItems count="1">
    <i/>
  </colItems>
  <dataFields count="1">
    <dataField name="Average of Profit" fld="20" subtotal="average" baseField="13" baseItem="0" numFmtId="4"/>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8623FB-81FD-422D-A549-FF6FD6258C73}" sourceName="Region">
  <pivotTables>
    <pivotTable tabId="8" name="PivotTable6"/>
    <pivotTable tabId="13" name="PivotTable8"/>
    <pivotTable tabId="7" name="PivotTable4"/>
    <pivotTable tabId="4" name="PivotTable1"/>
    <pivotTable tabId="5" name="PivotTable2"/>
    <pivotTable tabId="9" name="PivotTable5"/>
    <pivotTable tabId="6" name="PivotTable3"/>
    <pivotTable tabId="11" name="PivotTable7"/>
  </pivotTables>
  <data>
    <tabular pivotCacheId="2015063451">
      <items count="5">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2E473CA-D43B-4F0F-A320-9862EFE2264F}" sourceName="Segment">
  <pivotTables>
    <pivotTable tabId="8" name="PivotTable6"/>
    <pivotTable tabId="13" name="PivotTable8"/>
    <pivotTable tabId="7" name="PivotTable4"/>
    <pivotTable tabId="4" name="PivotTable1"/>
    <pivotTable tabId="5" name="PivotTable2"/>
    <pivotTable tabId="9" name="PivotTable5"/>
    <pivotTable tabId="6" name="PivotTable3"/>
    <pivotTable tabId="11" name="PivotTable7"/>
  </pivotTables>
  <data>
    <tabular pivotCacheId="201506345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D8548BA-12D7-46E6-9676-C08B18F72C4A}" sourceName="Payment_Mode">
  <pivotTables>
    <pivotTable tabId="8" name="PivotTable6"/>
    <pivotTable tabId="13" name="PivotTable8"/>
    <pivotTable tabId="7" name="PivotTable4"/>
    <pivotTable tabId="4" name="PivotTable1"/>
    <pivotTable tabId="5" name="PivotTable2"/>
    <pivotTable tabId="9" name="PivotTable5"/>
    <pivotTable tabId="6" name="PivotTable3"/>
    <pivotTable tabId="11" name="PivotTable7"/>
  </pivotTables>
  <data>
    <tabular pivotCacheId="2015063451">
      <items count="8">
        <i x="1" s="1"/>
        <i x="5" s="1"/>
        <i x="3" s="1"/>
        <i x="4" s="1"/>
        <i x="6" s="1"/>
        <i x="7"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90F279F-9BAE-4F08-98CB-2A8EDA842C4B}" sourceName="State">
  <pivotTables>
    <pivotTable tabId="8" name="PivotTable6"/>
    <pivotTable tabId="13" name="PivotTable8"/>
    <pivotTable tabId="7" name="PivotTable4"/>
    <pivotTable tabId="4" name="PivotTable1"/>
    <pivotTable tabId="5" name="PivotTable2"/>
    <pivotTable tabId="9" name="PivotTable5"/>
    <pivotTable tabId="6" name="PivotTable3"/>
    <pivotTable tabId="11" name="PivotTable7"/>
  </pivotTables>
  <data>
    <tabular pivotCacheId="2015063451">
      <items count="7">
        <i x="6" s="1"/>
        <i x="0" s="1"/>
        <i x="4" s="1"/>
        <i x="2" s="1"/>
        <i x="3"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7AC9E36-B58D-4B08-AEFE-809EA5E747A4}" cache="Slicer_Region" caption="Region" style="SlicerStyleLight5" rowHeight="234950"/>
  <slicer name="Segment" xr10:uid="{FD47DAA3-1019-4A24-95E1-EDA100E20704}" cache="Slicer_Segment" caption="Segment" style="SlicerStyleLight5" rowHeight="234950"/>
  <slicer name="Payment_Mode" xr10:uid="{889A5A6B-160C-4525-A02D-4BDDDFD1A61D}" cache="Slicer_Payment_Mode" caption="Payment_Mode" style="SlicerStyleLight5" rowHeight="234950"/>
  <slicer name="State" xr10:uid="{50C243D2-E053-4A6F-8333-08DE8B37694C}" cache="Slicer_State" caption="State"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4DFB6F2-5799-42DF-A166-28C02C56DCF8}" cache="Slicer_Region" caption="Region" style="SlicerStyleLight5" rowHeight="234950"/>
  <slicer name="Segment 1" xr10:uid="{18C369C8-D6D8-47BD-BFC5-CA5630F16607}" cache="Slicer_Segment" caption="Segment" style="SlicerStyleLight5" rowHeight="234950"/>
  <slicer name="Payment_Mode 1" xr10:uid="{C1EEF131-DF52-414E-8A83-C7E345090B15}" cache="Slicer_Payment_Mode" caption="Payment_Mode" style="SlicerStyleLight5" rowHeight="234950"/>
  <slicer name="State 1" xr10:uid="{C8151B78-5A6D-4968-B6DC-0FC773BF4102}" cache="Slicer_State" caption="State"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7046C1-E354-48C4-B06F-D99DC7B68776}" name="Table1" displayName="Table1" ref="A1:AH101" totalsRowShown="0" headerRowDxfId="10">
  <autoFilter ref="A1:AH101" xr:uid="{E37046C1-E354-48C4-B06F-D99DC7B68776}"/>
  <tableColumns count="34">
    <tableColumn id="1" xr3:uid="{619FBBE6-275C-48B5-8071-5198085BE91A}" name="Row ID"/>
    <tableColumn id="2" xr3:uid="{B0D9A982-205F-4EB5-8BA9-13CAF2B1DB1D}" name="Order ID"/>
    <tableColumn id="3" xr3:uid="{E7D51E50-5F77-4995-AA07-5EFEEA578DD2}" name="Order Date" dataDxfId="9"/>
    <tableColumn id="4" xr3:uid="{9F997825-2A87-464B-9DDD-64B318422A52}" name="Ship Date" dataDxfId="8"/>
    <tableColumn id="5" xr3:uid="{A9348D41-1C63-4EB0-9C38-A266B0014B90}" name="Ship Mode"/>
    <tableColumn id="6" xr3:uid="{727EDA78-D266-4FDB-9CBE-5A06E2A0F1E7}" name="customer ID"/>
    <tableColumn id="7" xr3:uid="{FB0D3531-1F1B-4E54-AE22-14376A00B894}" name="Customer Name"/>
    <tableColumn id="8" xr3:uid="{91B9B8D2-D0A1-4289-9CDA-3B3E7FA6C5FE}" name="Segment"/>
    <tableColumn id="9" xr3:uid="{FDD28AD1-623F-48FE-8B9E-774E51629367}" name="City"/>
    <tableColumn id="10" xr3:uid="{AF09E4F5-878B-46ED-A3D4-3AE58BFD24FE}" name="State"/>
    <tableColumn id="11" xr3:uid="{8332A06A-7DD9-461C-A59C-6981E3032F79}" name="Country"/>
    <tableColumn id="12" xr3:uid="{63A2807E-88B4-4C14-8F93-49F387BB716B}" name="Postal Code"/>
    <tableColumn id="13" xr3:uid="{55A770CE-F8BA-4D45-8C15-7731848D7C53}" name="Market"/>
    <tableColumn id="14" xr3:uid="{E2E3CFC4-76C8-47FC-96A6-CE6543D70A17}" name="Region"/>
    <tableColumn id="15" xr3:uid="{797D22E1-52F5-439E-A02D-7A7791C9CE96}" name="Product ID"/>
    <tableColumn id="16" xr3:uid="{83D6B823-6FEE-4217-BBA9-D00FC1CE91BC}" name="Category_Encoded"/>
    <tableColumn id="17" xr3:uid="{E231D01D-AE81-4EE3-BBD6-7BE2064D402F}" name="Product Name"/>
    <tableColumn id="18" xr3:uid="{AE0A5097-DC5E-4275-A9E4-4CF2E5873AC7}" name="Unit_Price" dataDxfId="7"/>
    <tableColumn id="19" xr3:uid="{397D7EC4-961A-49FB-817E-0F1574CBF3D6}" name="Quantity"/>
    <tableColumn id="20" xr3:uid="{5BB08FFD-3093-47E6-9547-6E454AE031D0}" name="Discount_Percentage"/>
    <tableColumn id="21" xr3:uid="{CD1E40B8-EF22-45B3-ABC9-20BADCD38282}" name="Profit" dataDxfId="6"/>
    <tableColumn id="22" xr3:uid="{BEBB19F7-9B6B-4382-90AA-FAB629CD64DD}" name="Shipping Cost" dataDxfId="5"/>
    <tableColumn id="23" xr3:uid="{046B9337-0ADF-43D1-8302-311490EEA6C8}" name="Order Priority"/>
    <tableColumn id="24" xr3:uid="{52984CB2-11E6-4907-82C7-8D05DD65C667}" name="Year"/>
    <tableColumn id="25" xr3:uid="{DE835ECC-BF2A-4709-98F1-8599D5411218}" name="Payment_Mode"/>
    <tableColumn id="26" xr3:uid="{DDDF0158-2695-4B58-BAFC-8A4203CEF37E}" name="Order Month">
      <calculatedColumnFormula>TEXT(A2,"mmm")</calculatedColumnFormula>
    </tableColumn>
    <tableColumn id="27" xr3:uid="{21B83BCF-89D9-4E9C-AC94-45C2107DADEE}" name="Order Day">
      <calculatedColumnFormula>TEXT(A2,"dddd")</calculatedColumnFormula>
    </tableColumn>
    <tableColumn id="28" xr3:uid="{863336FD-5D21-43CD-A8EE-E53508D1A709}" name="Sub_Category">
      <calculatedColumnFormula>RIGHT(P2,LEN(P2)-FIND("::",P2)-1)</calculatedColumnFormula>
    </tableColumn>
    <tableColumn id="29" xr3:uid="{53CD8506-5244-400E-B84D-96C91404A8FE}" name="Customer Segment">
      <calculatedColumnFormula>PROPER(TRIM(H2))</calculatedColumnFormula>
    </tableColumn>
    <tableColumn id="32" xr3:uid="{E7748256-0514-4F5F-8D92-2835E306947D}" name="Gross Revenue" dataDxfId="4">
      <calculatedColumnFormula>R2*S2</calculatedColumnFormula>
    </tableColumn>
    <tableColumn id="33" xr3:uid="{5073D7F3-EDF5-4034-AF66-CEE4B3F324DF}" name="Discount Amount" dataDxfId="3">
      <calculatedColumnFormula>AD2*(T2/100)</calculatedColumnFormula>
    </tableColumn>
    <tableColumn id="34" xr3:uid="{F968F4B2-2914-4D89-8E8D-7A948E98A926}" name="Net Revenue" dataDxfId="2">
      <calculatedColumnFormula>AD2-AE2</calculatedColumnFormula>
    </tableColumn>
    <tableColumn id="35" xr3:uid="{333DDC48-312E-43D8-B86C-7CD47ADC1E8E}" name="Total Order Cost" dataDxfId="1">
      <calculatedColumnFormula>AF2+V2</calculatedColumnFormula>
    </tableColumn>
    <tableColumn id="36" xr3:uid="{99F7757A-63CA-4DBB-8999-EB48FAFC03FE}" name="Order Fulfillment Duration" dataDxfId="0">
      <calculatedColumnFormula>D2-C2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1"/>
  <sheetViews>
    <sheetView topLeftCell="W1" workbookViewId="0">
      <pane ySplit="1" topLeftCell="A2" activePane="bottomLeft" state="frozen"/>
      <selection pane="bottomLeft" activeCell="AH3" sqref="AH3"/>
    </sheetView>
  </sheetViews>
  <sheetFormatPr defaultRowHeight="14.4" x14ac:dyDescent="0.3"/>
  <cols>
    <col min="1" max="1" width="16.44140625" customWidth="1"/>
    <col min="2" max="2" width="16" customWidth="1"/>
    <col min="3" max="4" width="21" customWidth="1"/>
    <col min="5" max="5" width="16" customWidth="1"/>
    <col min="6" max="6" width="16.44140625" customWidth="1"/>
    <col min="7" max="7" width="17" customWidth="1"/>
    <col min="8" max="8" width="20.33203125" customWidth="1"/>
    <col min="9" max="9" width="11" customWidth="1"/>
    <col min="10" max="10" width="13" customWidth="1"/>
    <col min="11" max="11" width="9.6640625" customWidth="1"/>
    <col min="12" max="12" width="13" customWidth="1"/>
    <col min="13" max="13" width="9" customWidth="1"/>
    <col min="14" max="14" width="12.6640625" customWidth="1"/>
    <col min="15" max="15" width="12" customWidth="1"/>
    <col min="16" max="16" width="18.77734375" customWidth="1"/>
    <col min="17" max="17" width="16" customWidth="1"/>
    <col min="18" max="18" width="21" customWidth="1"/>
    <col min="19" max="19" width="15.21875" customWidth="1"/>
    <col min="20" max="20" width="21" customWidth="1"/>
    <col min="21" max="21" width="13.77734375" customWidth="1"/>
    <col min="22" max="22" width="15" customWidth="1"/>
    <col min="23" max="23" width="16" customWidth="1"/>
    <col min="24" max="24" width="6.5546875" customWidth="1"/>
    <col min="25" max="25" width="16.44140625" customWidth="1"/>
    <col min="26" max="26" width="13.88671875" customWidth="1"/>
    <col min="27" max="27" width="11.33203125" customWidth="1"/>
    <col min="28" max="28" width="15.109375" customWidth="1"/>
    <col min="29" max="29" width="18.88671875" customWidth="1"/>
    <col min="30" max="30" width="21.6640625" customWidth="1"/>
    <col min="31" max="31" width="19.21875" customWidth="1"/>
    <col min="32" max="32" width="16" customWidth="1"/>
    <col min="33" max="33" width="20.88671875" customWidth="1"/>
    <col min="34" max="34" width="28.77734375" customWidth="1"/>
  </cols>
  <sheetData>
    <row r="1" spans="1:3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5" t="s">
        <v>20</v>
      </c>
      <c r="V1" s="1" t="s">
        <v>21</v>
      </c>
      <c r="W1" s="1" t="s">
        <v>22</v>
      </c>
      <c r="X1" s="1" t="s">
        <v>23</v>
      </c>
      <c r="Y1" s="1" t="s">
        <v>24</v>
      </c>
      <c r="Z1" s="4" t="s">
        <v>461</v>
      </c>
      <c r="AA1" s="4" t="s">
        <v>462</v>
      </c>
      <c r="AB1" s="4" t="s">
        <v>463</v>
      </c>
      <c r="AC1" s="4" t="s">
        <v>464</v>
      </c>
      <c r="AD1" s="7" t="s">
        <v>481</v>
      </c>
      <c r="AE1" s="7" t="s">
        <v>482</v>
      </c>
      <c r="AF1" s="7" t="s">
        <v>483</v>
      </c>
      <c r="AG1" s="7" t="s">
        <v>484</v>
      </c>
      <c r="AH1" s="7" t="s">
        <v>485</v>
      </c>
    </row>
    <row r="2" spans="1:34" x14ac:dyDescent="0.3">
      <c r="A2">
        <v>1</v>
      </c>
      <c r="B2" t="s">
        <v>25</v>
      </c>
      <c r="C2" s="2">
        <v>45658</v>
      </c>
      <c r="D2" s="2">
        <v>45664</v>
      </c>
      <c r="E2" t="s">
        <v>26</v>
      </c>
      <c r="F2" t="s">
        <v>27</v>
      </c>
      <c r="G2" t="s">
        <v>28</v>
      </c>
      <c r="H2" t="s">
        <v>29</v>
      </c>
      <c r="I2" t="s">
        <v>30</v>
      </c>
      <c r="J2" t="s">
        <v>31</v>
      </c>
      <c r="K2" t="s">
        <v>32</v>
      </c>
      <c r="L2">
        <v>619799</v>
      </c>
      <c r="M2" t="s">
        <v>33</v>
      </c>
      <c r="N2" t="s">
        <v>34</v>
      </c>
      <c r="O2" t="s">
        <v>35</v>
      </c>
      <c r="P2" t="s">
        <v>36</v>
      </c>
      <c r="Q2" t="s">
        <v>37</v>
      </c>
      <c r="R2" s="3">
        <v>6790.64</v>
      </c>
      <c r="S2">
        <v>11</v>
      </c>
      <c r="T2">
        <v>5</v>
      </c>
      <c r="U2" s="3">
        <v>1.22</v>
      </c>
      <c r="V2" s="3">
        <v>3516.98</v>
      </c>
      <c r="W2" t="s">
        <v>38</v>
      </c>
      <c r="X2">
        <v>2025</v>
      </c>
      <c r="Y2" t="s">
        <v>39</v>
      </c>
      <c r="Z2" t="str">
        <f>TEXT(A2,"mmm")</f>
        <v>Jan</v>
      </c>
      <c r="AA2" t="str">
        <f>TEXT(A2,"dddd")</f>
        <v>Sunday</v>
      </c>
      <c r="AB2" t="str">
        <f>RIGHT(P2,LEN(P2)-FIND("::",P2)-1)</f>
        <v>MON</v>
      </c>
      <c r="AC2" t="str">
        <f>PROPER(TRIM(H2))</f>
        <v>Consumer</v>
      </c>
      <c r="AD2">
        <f t="shared" ref="AD2:AD33" si="0">R2*S2</f>
        <v>74697.040000000008</v>
      </c>
      <c r="AE2">
        <f t="shared" ref="AE2:AE33" si="1">AD2*(T2/100)</f>
        <v>3734.8520000000008</v>
      </c>
      <c r="AF2">
        <f t="shared" ref="AF2:AF33" si="2">AD2-AE2</f>
        <v>70962.188000000009</v>
      </c>
      <c r="AG2" s="3">
        <f t="shared" ref="AG2:AG33" si="3">AF2+V2</f>
        <v>74479.168000000005</v>
      </c>
      <c r="AH2">
        <f t="shared" ref="AH2:AH33" si="4">D2-C2</f>
        <v>6</v>
      </c>
    </row>
    <row r="3" spans="1:34" x14ac:dyDescent="0.3">
      <c r="A3">
        <v>2</v>
      </c>
      <c r="B3" t="s">
        <v>40</v>
      </c>
      <c r="C3" s="2">
        <v>45661</v>
      </c>
      <c r="D3" s="2">
        <v>45667</v>
      </c>
      <c r="E3" t="s">
        <v>41</v>
      </c>
      <c r="F3" t="s">
        <v>42</v>
      </c>
      <c r="G3" t="s">
        <v>43</v>
      </c>
      <c r="H3" t="s">
        <v>44</v>
      </c>
      <c r="I3" t="s">
        <v>45</v>
      </c>
      <c r="J3" t="s">
        <v>46</v>
      </c>
      <c r="K3" t="s">
        <v>32</v>
      </c>
      <c r="L3">
        <v>461477</v>
      </c>
      <c r="M3" t="s">
        <v>33</v>
      </c>
      <c r="N3" t="s">
        <v>47</v>
      </c>
      <c r="O3" t="s">
        <v>48</v>
      </c>
      <c r="P3" t="s">
        <v>49</v>
      </c>
      <c r="Q3" t="s">
        <v>50</v>
      </c>
      <c r="R3" s="3">
        <v>613.86</v>
      </c>
      <c r="S3">
        <v>11</v>
      </c>
      <c r="T3">
        <v>5</v>
      </c>
      <c r="U3" s="3">
        <v>1.19</v>
      </c>
      <c r="V3" s="3">
        <v>201.34</v>
      </c>
      <c r="W3" t="s">
        <v>38</v>
      </c>
      <c r="X3">
        <v>2025</v>
      </c>
      <c r="Y3" t="s">
        <v>51</v>
      </c>
      <c r="Z3" t="str">
        <f t="shared" ref="Z3:Z66" si="5">TEXT(A3,"mmm")</f>
        <v>Jan</v>
      </c>
      <c r="AA3" t="str">
        <f t="shared" ref="AA3:AA66" si="6">TEXT(A3,"dddd")</f>
        <v>Monday</v>
      </c>
      <c r="AB3" t="str">
        <f t="shared" ref="AB3:AB66" si="7">RIGHT(P3,LEN(P3)-FIND("::",P3)-1)</f>
        <v>CH</v>
      </c>
      <c r="AC3" t="str">
        <f t="shared" ref="AC3:AC66" si="8">PROPER(TRIM(H3))</f>
        <v>Corporate</v>
      </c>
      <c r="AD3">
        <f t="shared" si="0"/>
        <v>6752.46</v>
      </c>
      <c r="AE3">
        <f t="shared" si="1"/>
        <v>337.62300000000005</v>
      </c>
      <c r="AF3">
        <f t="shared" si="2"/>
        <v>6414.8369999999995</v>
      </c>
      <c r="AG3" s="3">
        <f t="shared" si="3"/>
        <v>6616.1769999999997</v>
      </c>
      <c r="AH3">
        <f t="shared" si="4"/>
        <v>6</v>
      </c>
    </row>
    <row r="4" spans="1:34" x14ac:dyDescent="0.3">
      <c r="A4">
        <v>3</v>
      </c>
      <c r="B4" t="s">
        <v>52</v>
      </c>
      <c r="C4" s="2">
        <v>45665</v>
      </c>
      <c r="D4" s="2">
        <v>45671</v>
      </c>
      <c r="E4" t="s">
        <v>53</v>
      </c>
      <c r="F4" t="s">
        <v>54</v>
      </c>
      <c r="G4" t="s">
        <v>55</v>
      </c>
      <c r="H4" t="s">
        <v>44</v>
      </c>
      <c r="I4" t="s">
        <v>30</v>
      </c>
      <c r="J4" t="s">
        <v>56</v>
      </c>
      <c r="K4" t="s">
        <v>32</v>
      </c>
      <c r="L4">
        <v>706956</v>
      </c>
      <c r="M4" t="s">
        <v>33</v>
      </c>
      <c r="N4" t="s">
        <v>34</v>
      </c>
      <c r="O4" t="s">
        <v>57</v>
      </c>
      <c r="P4" t="s">
        <v>58</v>
      </c>
      <c r="Q4" t="s">
        <v>59</v>
      </c>
      <c r="R4" s="3">
        <v>42579.67</v>
      </c>
      <c r="S4">
        <v>2</v>
      </c>
      <c r="T4">
        <v>25</v>
      </c>
      <c r="U4" s="3">
        <v>16.850000000000001</v>
      </c>
      <c r="V4" s="3">
        <v>5764.31</v>
      </c>
      <c r="W4" t="s">
        <v>38</v>
      </c>
      <c r="X4">
        <v>2025</v>
      </c>
      <c r="Y4" t="s">
        <v>60</v>
      </c>
      <c r="Z4" t="str">
        <f t="shared" si="5"/>
        <v>Jan</v>
      </c>
      <c r="AA4" t="str">
        <f t="shared" si="6"/>
        <v>Tuesday</v>
      </c>
      <c r="AB4" t="str">
        <f t="shared" si="7"/>
        <v>MSW</v>
      </c>
      <c r="AC4" t="str">
        <f t="shared" si="8"/>
        <v>Corporate</v>
      </c>
      <c r="AD4">
        <f t="shared" si="0"/>
        <v>85159.34</v>
      </c>
      <c r="AE4">
        <f t="shared" si="1"/>
        <v>21289.834999999999</v>
      </c>
      <c r="AF4">
        <f t="shared" si="2"/>
        <v>63869.504999999997</v>
      </c>
      <c r="AG4" s="3">
        <f t="shared" si="3"/>
        <v>69633.815000000002</v>
      </c>
      <c r="AH4">
        <f t="shared" si="4"/>
        <v>6</v>
      </c>
    </row>
    <row r="5" spans="1:34" x14ac:dyDescent="0.3">
      <c r="A5">
        <v>4</v>
      </c>
      <c r="B5" t="s">
        <v>61</v>
      </c>
      <c r="C5" s="2">
        <v>45669</v>
      </c>
      <c r="D5" s="2">
        <v>45674</v>
      </c>
      <c r="E5" t="s">
        <v>62</v>
      </c>
      <c r="F5" t="s">
        <v>63</v>
      </c>
      <c r="G5" t="s">
        <v>64</v>
      </c>
      <c r="H5" t="s">
        <v>44</v>
      </c>
      <c r="I5" t="s">
        <v>65</v>
      </c>
      <c r="J5" t="s">
        <v>31</v>
      </c>
      <c r="K5" t="s">
        <v>32</v>
      </c>
      <c r="L5">
        <v>567281</v>
      </c>
      <c r="M5" t="s">
        <v>33</v>
      </c>
      <c r="N5" t="s">
        <v>66</v>
      </c>
      <c r="O5" t="s">
        <v>67</v>
      </c>
      <c r="P5" t="s">
        <v>49</v>
      </c>
      <c r="Q5" t="s">
        <v>68</v>
      </c>
      <c r="R5" s="3">
        <v>1241.25</v>
      </c>
      <c r="S5">
        <v>9</v>
      </c>
      <c r="T5">
        <v>10</v>
      </c>
      <c r="U5" s="3">
        <v>19.649999999999999</v>
      </c>
      <c r="V5" s="3">
        <v>688.38</v>
      </c>
      <c r="W5" t="s">
        <v>69</v>
      </c>
      <c r="X5">
        <v>2025</v>
      </c>
      <c r="Y5" t="s">
        <v>70</v>
      </c>
      <c r="Z5" t="str">
        <f t="shared" si="5"/>
        <v>Jan</v>
      </c>
      <c r="AA5" t="str">
        <f t="shared" si="6"/>
        <v>Wednesday</v>
      </c>
      <c r="AB5" t="str">
        <f t="shared" si="7"/>
        <v>CH</v>
      </c>
      <c r="AC5" t="str">
        <f t="shared" si="8"/>
        <v>Corporate</v>
      </c>
      <c r="AD5">
        <f t="shared" si="0"/>
        <v>11171.25</v>
      </c>
      <c r="AE5">
        <f t="shared" si="1"/>
        <v>1117.125</v>
      </c>
      <c r="AF5">
        <f t="shared" si="2"/>
        <v>10054.125</v>
      </c>
      <c r="AG5" s="3">
        <f t="shared" si="3"/>
        <v>10742.504999999999</v>
      </c>
      <c r="AH5">
        <f t="shared" si="4"/>
        <v>5</v>
      </c>
    </row>
    <row r="6" spans="1:34" x14ac:dyDescent="0.3">
      <c r="A6">
        <v>5</v>
      </c>
      <c r="B6" t="s">
        <v>71</v>
      </c>
      <c r="C6" s="2">
        <v>45672</v>
      </c>
      <c r="D6" s="2">
        <v>45675</v>
      </c>
      <c r="E6" t="s">
        <v>26</v>
      </c>
      <c r="F6" t="s">
        <v>72</v>
      </c>
      <c r="G6" t="s">
        <v>73</v>
      </c>
      <c r="H6" t="s">
        <v>29</v>
      </c>
      <c r="I6" t="s">
        <v>30</v>
      </c>
      <c r="J6" t="s">
        <v>46</v>
      </c>
      <c r="K6" t="s">
        <v>32</v>
      </c>
      <c r="L6">
        <v>551223</v>
      </c>
      <c r="M6" t="s">
        <v>33</v>
      </c>
      <c r="N6" t="s">
        <v>74</v>
      </c>
      <c r="O6" t="s">
        <v>75</v>
      </c>
      <c r="P6" t="s">
        <v>49</v>
      </c>
      <c r="Q6" t="s">
        <v>50</v>
      </c>
      <c r="R6" s="3">
        <v>587.55999999999995</v>
      </c>
      <c r="S6">
        <v>10</v>
      </c>
      <c r="T6">
        <v>20</v>
      </c>
      <c r="U6" s="3">
        <v>19</v>
      </c>
      <c r="V6" s="3">
        <v>195.34</v>
      </c>
      <c r="W6" t="s">
        <v>69</v>
      </c>
      <c r="X6">
        <v>2025</v>
      </c>
      <c r="Y6" t="s">
        <v>76</v>
      </c>
      <c r="Z6" t="str">
        <f t="shared" si="5"/>
        <v>Jan</v>
      </c>
      <c r="AA6" t="str">
        <f t="shared" si="6"/>
        <v>Thursday</v>
      </c>
      <c r="AB6" t="str">
        <f t="shared" si="7"/>
        <v>CH</v>
      </c>
      <c r="AC6" t="str">
        <f t="shared" si="8"/>
        <v>Consumer</v>
      </c>
      <c r="AD6">
        <f t="shared" si="0"/>
        <v>5875.5999999999995</v>
      </c>
      <c r="AE6">
        <f t="shared" si="1"/>
        <v>1175.1199999999999</v>
      </c>
      <c r="AF6">
        <f t="shared" si="2"/>
        <v>4700.4799999999996</v>
      </c>
      <c r="AG6" s="3">
        <f t="shared" si="3"/>
        <v>4895.82</v>
      </c>
      <c r="AH6">
        <f t="shared" si="4"/>
        <v>3</v>
      </c>
    </row>
    <row r="7" spans="1:34" x14ac:dyDescent="0.3">
      <c r="A7">
        <v>6</v>
      </c>
      <c r="B7" t="s">
        <v>77</v>
      </c>
      <c r="C7" s="2">
        <v>45676</v>
      </c>
      <c r="D7" s="2">
        <v>45682</v>
      </c>
      <c r="E7" t="s">
        <v>53</v>
      </c>
      <c r="F7" t="s">
        <v>78</v>
      </c>
      <c r="G7" t="s">
        <v>79</v>
      </c>
      <c r="H7" t="s">
        <v>80</v>
      </c>
      <c r="I7" t="s">
        <v>81</v>
      </c>
      <c r="J7" t="s">
        <v>82</v>
      </c>
      <c r="K7" t="s">
        <v>32</v>
      </c>
      <c r="L7">
        <v>471181</v>
      </c>
      <c r="M7" t="s">
        <v>33</v>
      </c>
      <c r="N7" t="s">
        <v>66</v>
      </c>
      <c r="O7" t="s">
        <v>83</v>
      </c>
      <c r="P7" t="s">
        <v>84</v>
      </c>
      <c r="Q7" t="s">
        <v>50</v>
      </c>
      <c r="R7" s="3">
        <v>598.53</v>
      </c>
      <c r="S7">
        <v>2</v>
      </c>
      <c r="T7">
        <v>20</v>
      </c>
      <c r="U7" s="3">
        <v>-5.43</v>
      </c>
      <c r="V7" s="3">
        <v>29.86</v>
      </c>
      <c r="W7" t="s">
        <v>85</v>
      </c>
      <c r="X7">
        <v>2025</v>
      </c>
      <c r="Y7" t="s">
        <v>86</v>
      </c>
      <c r="Z7" t="str">
        <f t="shared" si="5"/>
        <v>Jan</v>
      </c>
      <c r="AA7" t="str">
        <f t="shared" si="6"/>
        <v>Friday</v>
      </c>
      <c r="AB7" t="str">
        <f t="shared" si="7"/>
        <v>TBL</v>
      </c>
      <c r="AC7" t="str">
        <f t="shared" si="8"/>
        <v>Home Office</v>
      </c>
      <c r="AD7">
        <f t="shared" si="0"/>
        <v>1197.06</v>
      </c>
      <c r="AE7">
        <f t="shared" si="1"/>
        <v>239.41200000000001</v>
      </c>
      <c r="AF7">
        <f t="shared" si="2"/>
        <v>957.64799999999991</v>
      </c>
      <c r="AG7" s="3">
        <f t="shared" si="3"/>
        <v>987.50799999999992</v>
      </c>
      <c r="AH7">
        <f t="shared" si="4"/>
        <v>6</v>
      </c>
    </row>
    <row r="8" spans="1:34" x14ac:dyDescent="0.3">
      <c r="A8">
        <v>7</v>
      </c>
      <c r="B8" t="s">
        <v>87</v>
      </c>
      <c r="C8" s="2">
        <v>45680</v>
      </c>
      <c r="D8" s="2">
        <v>45683</v>
      </c>
      <c r="E8" t="s">
        <v>41</v>
      </c>
      <c r="F8" t="s">
        <v>88</v>
      </c>
      <c r="G8" t="s">
        <v>89</v>
      </c>
      <c r="H8" t="s">
        <v>29</v>
      </c>
      <c r="I8" t="s">
        <v>81</v>
      </c>
      <c r="J8" t="s">
        <v>90</v>
      </c>
      <c r="K8" t="s">
        <v>32</v>
      </c>
      <c r="L8">
        <v>574359</v>
      </c>
      <c r="M8" t="s">
        <v>33</v>
      </c>
      <c r="N8" t="s">
        <v>91</v>
      </c>
      <c r="O8" t="s">
        <v>92</v>
      </c>
      <c r="P8" t="s">
        <v>84</v>
      </c>
      <c r="Q8" t="s">
        <v>93</v>
      </c>
      <c r="R8" s="3">
        <v>3391.95</v>
      </c>
      <c r="S8">
        <v>5</v>
      </c>
      <c r="T8">
        <v>5</v>
      </c>
      <c r="U8" s="3">
        <v>33.869999999999997</v>
      </c>
      <c r="V8" s="3">
        <v>1031.6600000000001</v>
      </c>
      <c r="W8" t="s">
        <v>94</v>
      </c>
      <c r="X8">
        <v>2025</v>
      </c>
      <c r="Y8" t="s">
        <v>70</v>
      </c>
      <c r="Z8" t="str">
        <f t="shared" si="5"/>
        <v>Jan</v>
      </c>
      <c r="AA8" t="str">
        <f t="shared" si="6"/>
        <v>Saturday</v>
      </c>
      <c r="AB8" t="str">
        <f t="shared" si="7"/>
        <v>TBL</v>
      </c>
      <c r="AC8" t="str">
        <f t="shared" si="8"/>
        <v>Consumer</v>
      </c>
      <c r="AD8">
        <f t="shared" si="0"/>
        <v>16959.75</v>
      </c>
      <c r="AE8">
        <f t="shared" si="1"/>
        <v>847.98750000000007</v>
      </c>
      <c r="AF8">
        <f t="shared" si="2"/>
        <v>16111.762500000001</v>
      </c>
      <c r="AG8" s="3">
        <f t="shared" si="3"/>
        <v>17143.422500000001</v>
      </c>
      <c r="AH8">
        <f t="shared" si="4"/>
        <v>3</v>
      </c>
    </row>
    <row r="9" spans="1:34" x14ac:dyDescent="0.3">
      <c r="A9">
        <v>8</v>
      </c>
      <c r="B9" t="s">
        <v>95</v>
      </c>
      <c r="C9" s="2">
        <v>45683</v>
      </c>
      <c r="D9" s="2">
        <v>45686</v>
      </c>
      <c r="E9" t="s">
        <v>53</v>
      </c>
      <c r="F9" t="s">
        <v>96</v>
      </c>
      <c r="G9" t="s">
        <v>97</v>
      </c>
      <c r="H9" t="s">
        <v>44</v>
      </c>
      <c r="I9" t="s">
        <v>98</v>
      </c>
      <c r="J9" t="s">
        <v>31</v>
      </c>
      <c r="K9" t="s">
        <v>32</v>
      </c>
      <c r="L9">
        <v>512857</v>
      </c>
      <c r="M9" t="s">
        <v>33</v>
      </c>
      <c r="N9" t="s">
        <v>47</v>
      </c>
      <c r="O9" t="s">
        <v>99</v>
      </c>
      <c r="P9" t="s">
        <v>36</v>
      </c>
      <c r="Q9" t="s">
        <v>50</v>
      </c>
      <c r="R9" s="3">
        <v>608.21</v>
      </c>
      <c r="S9">
        <v>9</v>
      </c>
      <c r="T9">
        <v>10</v>
      </c>
      <c r="U9" s="3">
        <v>3.28</v>
      </c>
      <c r="V9" s="3">
        <v>324.44</v>
      </c>
      <c r="W9" t="s">
        <v>69</v>
      </c>
      <c r="X9">
        <v>2025</v>
      </c>
      <c r="Y9" t="s">
        <v>100</v>
      </c>
      <c r="Z9" t="str">
        <f t="shared" si="5"/>
        <v>Jan</v>
      </c>
      <c r="AA9" t="str">
        <f t="shared" si="6"/>
        <v>Sunday</v>
      </c>
      <c r="AB9" t="str">
        <f t="shared" si="7"/>
        <v>MON</v>
      </c>
      <c r="AC9" t="str">
        <f t="shared" si="8"/>
        <v>Corporate</v>
      </c>
      <c r="AD9">
        <f t="shared" si="0"/>
        <v>5473.89</v>
      </c>
      <c r="AE9">
        <f t="shared" si="1"/>
        <v>547.38900000000001</v>
      </c>
      <c r="AF9">
        <f t="shared" si="2"/>
        <v>4926.5010000000002</v>
      </c>
      <c r="AG9" s="3">
        <f t="shared" si="3"/>
        <v>5250.9409999999998</v>
      </c>
      <c r="AH9">
        <f t="shared" si="4"/>
        <v>3</v>
      </c>
    </row>
    <row r="10" spans="1:34" x14ac:dyDescent="0.3">
      <c r="A10">
        <v>9</v>
      </c>
      <c r="B10" t="s">
        <v>101</v>
      </c>
      <c r="C10" s="2">
        <v>45687</v>
      </c>
      <c r="D10" s="2">
        <v>45689</v>
      </c>
      <c r="E10" t="s">
        <v>41</v>
      </c>
      <c r="F10" t="s">
        <v>102</v>
      </c>
      <c r="G10" t="s">
        <v>103</v>
      </c>
      <c r="H10" t="s">
        <v>29</v>
      </c>
      <c r="I10" t="s">
        <v>104</v>
      </c>
      <c r="J10" t="s">
        <v>105</v>
      </c>
      <c r="K10" t="s">
        <v>32</v>
      </c>
      <c r="L10">
        <v>730595</v>
      </c>
      <c r="M10" t="s">
        <v>33</v>
      </c>
      <c r="N10" t="s">
        <v>34</v>
      </c>
      <c r="O10" t="s">
        <v>106</v>
      </c>
      <c r="P10" t="s">
        <v>107</v>
      </c>
      <c r="Q10" t="s">
        <v>50</v>
      </c>
      <c r="R10" s="3">
        <v>669.86</v>
      </c>
      <c r="S10">
        <v>9</v>
      </c>
      <c r="T10">
        <v>10</v>
      </c>
      <c r="U10" s="3">
        <v>-3.52</v>
      </c>
      <c r="V10" s="3">
        <v>219.42</v>
      </c>
      <c r="W10" t="s">
        <v>94</v>
      </c>
      <c r="X10">
        <v>2025</v>
      </c>
      <c r="Y10" t="s">
        <v>76</v>
      </c>
      <c r="Z10" t="str">
        <f t="shared" si="5"/>
        <v>Jan</v>
      </c>
      <c r="AA10" t="str">
        <f t="shared" si="6"/>
        <v>Monday</v>
      </c>
      <c r="AB10" t="str">
        <f t="shared" si="7"/>
        <v xml:space="preserve">ph </v>
      </c>
      <c r="AC10" t="str">
        <f t="shared" si="8"/>
        <v>Consumer</v>
      </c>
      <c r="AD10">
        <f t="shared" si="0"/>
        <v>6028.74</v>
      </c>
      <c r="AE10">
        <f t="shared" si="1"/>
        <v>602.87400000000002</v>
      </c>
      <c r="AF10">
        <f t="shared" si="2"/>
        <v>5425.866</v>
      </c>
      <c r="AG10" s="3">
        <f t="shared" si="3"/>
        <v>5645.2860000000001</v>
      </c>
      <c r="AH10">
        <f t="shared" si="4"/>
        <v>2</v>
      </c>
    </row>
    <row r="11" spans="1:34" x14ac:dyDescent="0.3">
      <c r="A11">
        <v>10</v>
      </c>
      <c r="B11" t="s">
        <v>108</v>
      </c>
      <c r="C11" s="2">
        <v>45691</v>
      </c>
      <c r="D11" s="2">
        <v>45696</v>
      </c>
      <c r="E11" t="s">
        <v>62</v>
      </c>
      <c r="F11" t="s">
        <v>109</v>
      </c>
      <c r="G11" t="s">
        <v>110</v>
      </c>
      <c r="H11" t="s">
        <v>29</v>
      </c>
      <c r="I11" t="s">
        <v>111</v>
      </c>
      <c r="J11" t="s">
        <v>46</v>
      </c>
      <c r="K11" t="s">
        <v>32</v>
      </c>
      <c r="L11">
        <v>586142</v>
      </c>
      <c r="M11" t="s">
        <v>33</v>
      </c>
      <c r="N11" t="s">
        <v>34</v>
      </c>
      <c r="O11" t="s">
        <v>112</v>
      </c>
      <c r="P11" t="s">
        <v>113</v>
      </c>
      <c r="Q11" t="s">
        <v>114</v>
      </c>
      <c r="R11" s="3">
        <v>1421.45</v>
      </c>
      <c r="S11">
        <v>8</v>
      </c>
      <c r="T11">
        <v>25</v>
      </c>
      <c r="U11" s="3">
        <v>34.44</v>
      </c>
      <c r="V11" s="3">
        <v>876.2</v>
      </c>
      <c r="W11" t="s">
        <v>85</v>
      </c>
      <c r="X11">
        <v>2025</v>
      </c>
      <c r="Y11" t="s">
        <v>100</v>
      </c>
      <c r="Z11" t="str">
        <f t="shared" si="5"/>
        <v>Jan</v>
      </c>
      <c r="AA11" t="str">
        <f t="shared" si="6"/>
        <v>Tuesday</v>
      </c>
      <c r="AB11" t="str">
        <f t="shared" si="7"/>
        <v>tbl</v>
      </c>
      <c r="AC11" t="str">
        <f t="shared" si="8"/>
        <v>Consumer</v>
      </c>
      <c r="AD11">
        <f t="shared" si="0"/>
        <v>11371.6</v>
      </c>
      <c r="AE11">
        <f t="shared" si="1"/>
        <v>2842.9</v>
      </c>
      <c r="AF11">
        <f t="shared" si="2"/>
        <v>8528.7000000000007</v>
      </c>
      <c r="AG11" s="3">
        <f t="shared" si="3"/>
        <v>9404.9000000000015</v>
      </c>
      <c r="AH11">
        <f t="shared" si="4"/>
        <v>5</v>
      </c>
    </row>
    <row r="12" spans="1:34" x14ac:dyDescent="0.3">
      <c r="A12">
        <v>11</v>
      </c>
      <c r="B12" t="s">
        <v>115</v>
      </c>
      <c r="C12" s="2">
        <v>45694</v>
      </c>
      <c r="D12" s="2">
        <v>45700</v>
      </c>
      <c r="E12" t="s">
        <v>26</v>
      </c>
      <c r="F12" t="s">
        <v>116</v>
      </c>
      <c r="G12" t="s">
        <v>117</v>
      </c>
      <c r="H12" t="s">
        <v>80</v>
      </c>
      <c r="I12" t="s">
        <v>65</v>
      </c>
      <c r="J12" t="s">
        <v>90</v>
      </c>
      <c r="K12" t="s">
        <v>32</v>
      </c>
      <c r="L12">
        <v>774033</v>
      </c>
      <c r="M12" t="s">
        <v>33</v>
      </c>
      <c r="N12" t="s">
        <v>47</v>
      </c>
      <c r="O12" t="s">
        <v>118</v>
      </c>
      <c r="P12" t="s">
        <v>119</v>
      </c>
      <c r="Q12" t="s">
        <v>68</v>
      </c>
      <c r="R12" s="3">
        <v>1103.8699999999999</v>
      </c>
      <c r="S12">
        <v>1</v>
      </c>
      <c r="T12">
        <v>15</v>
      </c>
      <c r="U12" s="3">
        <v>37.78</v>
      </c>
      <c r="V12" s="3">
        <v>32.08</v>
      </c>
      <c r="W12" t="s">
        <v>94</v>
      </c>
      <c r="X12">
        <v>2025</v>
      </c>
      <c r="Y12" t="s">
        <v>60</v>
      </c>
      <c r="Z12" t="str">
        <f t="shared" si="5"/>
        <v>Jan</v>
      </c>
      <c r="AA12" t="str">
        <f t="shared" si="6"/>
        <v>Wednesday</v>
      </c>
      <c r="AB12" t="str">
        <f t="shared" si="7"/>
        <v xml:space="preserve"> bin</v>
      </c>
      <c r="AC12" t="str">
        <f t="shared" si="8"/>
        <v>Home Office</v>
      </c>
      <c r="AD12">
        <f t="shared" si="0"/>
        <v>1103.8699999999999</v>
      </c>
      <c r="AE12">
        <f t="shared" si="1"/>
        <v>165.58049999999997</v>
      </c>
      <c r="AF12">
        <f t="shared" si="2"/>
        <v>938.28949999999986</v>
      </c>
      <c r="AG12" s="3">
        <f t="shared" si="3"/>
        <v>970.3694999999999</v>
      </c>
      <c r="AH12">
        <f t="shared" si="4"/>
        <v>6</v>
      </c>
    </row>
    <row r="13" spans="1:34" x14ac:dyDescent="0.3">
      <c r="A13">
        <v>12</v>
      </c>
      <c r="B13" t="s">
        <v>120</v>
      </c>
      <c r="C13" s="2">
        <v>45698</v>
      </c>
      <c r="D13" s="2">
        <v>45699</v>
      </c>
      <c r="E13" t="s">
        <v>26</v>
      </c>
      <c r="F13" t="s">
        <v>121</v>
      </c>
      <c r="G13" t="s">
        <v>122</v>
      </c>
      <c r="H13" t="s">
        <v>80</v>
      </c>
      <c r="I13" t="s">
        <v>98</v>
      </c>
      <c r="J13" t="s">
        <v>56</v>
      </c>
      <c r="K13" t="s">
        <v>32</v>
      </c>
      <c r="L13">
        <v>510449</v>
      </c>
      <c r="M13" t="s">
        <v>33</v>
      </c>
      <c r="N13" t="s">
        <v>47</v>
      </c>
      <c r="O13" t="s">
        <v>123</v>
      </c>
      <c r="P13" t="s">
        <v>124</v>
      </c>
      <c r="Q13" t="s">
        <v>59</v>
      </c>
      <c r="R13" s="3">
        <v>42688.55</v>
      </c>
      <c r="S13">
        <v>1</v>
      </c>
      <c r="T13">
        <v>20</v>
      </c>
      <c r="U13" s="3">
        <v>33.11</v>
      </c>
      <c r="V13" s="3">
        <v>1961.12</v>
      </c>
      <c r="W13" t="s">
        <v>69</v>
      </c>
      <c r="X13">
        <v>2025</v>
      </c>
      <c r="Y13" t="s">
        <v>39</v>
      </c>
      <c r="Z13" t="str">
        <f t="shared" si="5"/>
        <v>Jan</v>
      </c>
      <c r="AA13" t="str">
        <f t="shared" si="6"/>
        <v>Thursday</v>
      </c>
      <c r="AB13" t="str">
        <f t="shared" si="7"/>
        <v>PHHH</v>
      </c>
      <c r="AC13" t="str">
        <f t="shared" si="8"/>
        <v>Home Office</v>
      </c>
      <c r="AD13">
        <f t="shared" si="0"/>
        <v>42688.55</v>
      </c>
      <c r="AE13">
        <f t="shared" si="1"/>
        <v>8537.7100000000009</v>
      </c>
      <c r="AF13">
        <f t="shared" si="2"/>
        <v>34150.840000000004</v>
      </c>
      <c r="AG13" s="3">
        <f t="shared" si="3"/>
        <v>36111.960000000006</v>
      </c>
      <c r="AH13">
        <f t="shared" si="4"/>
        <v>1</v>
      </c>
    </row>
    <row r="14" spans="1:34" x14ac:dyDescent="0.3">
      <c r="A14">
        <v>13</v>
      </c>
      <c r="B14" t="s">
        <v>125</v>
      </c>
      <c r="C14" s="2">
        <v>45702</v>
      </c>
      <c r="D14" s="2">
        <v>45706</v>
      </c>
      <c r="E14" t="s">
        <v>26</v>
      </c>
      <c r="F14" t="s">
        <v>126</v>
      </c>
      <c r="G14" t="s">
        <v>127</v>
      </c>
      <c r="H14" t="s">
        <v>44</v>
      </c>
      <c r="I14" t="s">
        <v>65</v>
      </c>
      <c r="J14" t="s">
        <v>56</v>
      </c>
      <c r="K14" t="s">
        <v>32</v>
      </c>
      <c r="L14">
        <v>414398</v>
      </c>
      <c r="M14" t="s">
        <v>33</v>
      </c>
      <c r="N14" t="s">
        <v>91</v>
      </c>
      <c r="O14" t="s">
        <v>128</v>
      </c>
      <c r="P14" t="s">
        <v>129</v>
      </c>
      <c r="Q14" t="s">
        <v>130</v>
      </c>
      <c r="R14" s="3">
        <v>19322.39</v>
      </c>
      <c r="S14">
        <v>9</v>
      </c>
      <c r="T14">
        <v>25</v>
      </c>
      <c r="U14" s="3">
        <v>30.48</v>
      </c>
      <c r="V14" s="3">
        <v>13323.8</v>
      </c>
      <c r="W14" t="s">
        <v>94</v>
      </c>
      <c r="X14">
        <v>2025</v>
      </c>
      <c r="Y14" t="s">
        <v>70</v>
      </c>
      <c r="Z14" t="str">
        <f t="shared" si="5"/>
        <v>Jan</v>
      </c>
      <c r="AA14" t="str">
        <f t="shared" si="6"/>
        <v>Friday</v>
      </c>
      <c r="AB14" t="e">
        <f t="shared" si="7"/>
        <v>#VALUE!</v>
      </c>
      <c r="AC14" t="str">
        <f t="shared" si="8"/>
        <v>Corporate</v>
      </c>
      <c r="AD14">
        <f t="shared" si="0"/>
        <v>173901.51</v>
      </c>
      <c r="AE14">
        <f t="shared" si="1"/>
        <v>43475.377500000002</v>
      </c>
      <c r="AF14">
        <f t="shared" si="2"/>
        <v>130426.13250000001</v>
      </c>
      <c r="AG14" s="3">
        <f t="shared" si="3"/>
        <v>143749.9325</v>
      </c>
      <c r="AH14">
        <f t="shared" si="4"/>
        <v>4</v>
      </c>
    </row>
    <row r="15" spans="1:34" x14ac:dyDescent="0.3">
      <c r="A15">
        <v>14</v>
      </c>
      <c r="B15" t="s">
        <v>131</v>
      </c>
      <c r="C15" s="2">
        <v>45705</v>
      </c>
      <c r="D15" s="2">
        <v>45706</v>
      </c>
      <c r="E15" t="s">
        <v>62</v>
      </c>
      <c r="F15" t="s">
        <v>132</v>
      </c>
      <c r="G15" t="s">
        <v>133</v>
      </c>
      <c r="H15" t="s">
        <v>29</v>
      </c>
      <c r="I15" t="s">
        <v>104</v>
      </c>
      <c r="J15" t="s">
        <v>81</v>
      </c>
      <c r="K15" t="s">
        <v>32</v>
      </c>
      <c r="L15">
        <v>578032</v>
      </c>
      <c r="M15" t="s">
        <v>33</v>
      </c>
      <c r="N15" t="s">
        <v>66</v>
      </c>
      <c r="O15" t="s">
        <v>134</v>
      </c>
      <c r="P15" t="s">
        <v>135</v>
      </c>
      <c r="Q15" t="s">
        <v>93</v>
      </c>
      <c r="R15" s="3">
        <v>3427.65</v>
      </c>
      <c r="S15">
        <v>11</v>
      </c>
      <c r="T15">
        <v>0</v>
      </c>
      <c r="U15" s="3">
        <v>22.76</v>
      </c>
      <c r="V15" s="3">
        <v>1703.61</v>
      </c>
      <c r="W15" t="s">
        <v>69</v>
      </c>
      <c r="X15">
        <v>2025</v>
      </c>
      <c r="Y15" t="s">
        <v>86</v>
      </c>
      <c r="Z15" t="str">
        <f t="shared" si="5"/>
        <v>Jan</v>
      </c>
      <c r="AA15" t="str">
        <f t="shared" si="6"/>
        <v>Saturday</v>
      </c>
      <c r="AB15" t="str">
        <f t="shared" si="7"/>
        <v>ART</v>
      </c>
      <c r="AC15" t="str">
        <f t="shared" si="8"/>
        <v>Consumer</v>
      </c>
      <c r="AD15">
        <f t="shared" si="0"/>
        <v>37704.15</v>
      </c>
      <c r="AE15">
        <f t="shared" si="1"/>
        <v>0</v>
      </c>
      <c r="AF15">
        <f t="shared" si="2"/>
        <v>37704.15</v>
      </c>
      <c r="AG15" s="3">
        <f t="shared" si="3"/>
        <v>39407.760000000002</v>
      </c>
      <c r="AH15">
        <f t="shared" si="4"/>
        <v>1</v>
      </c>
    </row>
    <row r="16" spans="1:34" x14ac:dyDescent="0.3">
      <c r="A16">
        <v>15</v>
      </c>
      <c r="B16" t="s">
        <v>136</v>
      </c>
      <c r="C16" s="2">
        <v>45709</v>
      </c>
      <c r="D16" s="2">
        <v>45714</v>
      </c>
      <c r="E16" t="s">
        <v>41</v>
      </c>
      <c r="F16" t="s">
        <v>137</v>
      </c>
      <c r="G16" t="s">
        <v>138</v>
      </c>
      <c r="H16" t="s">
        <v>29</v>
      </c>
      <c r="I16" t="s">
        <v>139</v>
      </c>
      <c r="J16" t="s">
        <v>46</v>
      </c>
      <c r="K16" t="s">
        <v>32</v>
      </c>
      <c r="L16">
        <v>793945</v>
      </c>
      <c r="M16" t="s">
        <v>33</v>
      </c>
      <c r="N16" t="s">
        <v>34</v>
      </c>
      <c r="O16" t="s">
        <v>140</v>
      </c>
      <c r="P16" t="s">
        <v>36</v>
      </c>
      <c r="Q16" t="s">
        <v>114</v>
      </c>
      <c r="R16" s="3">
        <v>1599.07</v>
      </c>
      <c r="S16">
        <v>8</v>
      </c>
      <c r="T16">
        <v>20</v>
      </c>
      <c r="U16" s="3">
        <v>17.54</v>
      </c>
      <c r="V16" s="3">
        <v>745.95</v>
      </c>
      <c r="W16" t="s">
        <v>94</v>
      </c>
      <c r="X16">
        <v>2025</v>
      </c>
      <c r="Y16" t="s">
        <v>76</v>
      </c>
      <c r="Z16" t="str">
        <f t="shared" si="5"/>
        <v>Jan</v>
      </c>
      <c r="AA16" t="str">
        <f t="shared" si="6"/>
        <v>Sunday</v>
      </c>
      <c r="AB16" t="str">
        <f t="shared" si="7"/>
        <v>MON</v>
      </c>
      <c r="AC16" t="str">
        <f t="shared" si="8"/>
        <v>Consumer</v>
      </c>
      <c r="AD16">
        <f t="shared" si="0"/>
        <v>12792.56</v>
      </c>
      <c r="AE16">
        <f t="shared" si="1"/>
        <v>2558.5120000000002</v>
      </c>
      <c r="AF16">
        <f t="shared" si="2"/>
        <v>10234.047999999999</v>
      </c>
      <c r="AG16" s="3">
        <f t="shared" si="3"/>
        <v>10979.998</v>
      </c>
      <c r="AH16">
        <f t="shared" si="4"/>
        <v>5</v>
      </c>
    </row>
    <row r="17" spans="1:34" x14ac:dyDescent="0.3">
      <c r="A17">
        <v>16</v>
      </c>
      <c r="B17" t="s">
        <v>141</v>
      </c>
      <c r="C17" s="2">
        <v>45713</v>
      </c>
      <c r="D17" s="2">
        <v>45717</v>
      </c>
      <c r="E17" t="s">
        <v>62</v>
      </c>
      <c r="F17" t="s">
        <v>142</v>
      </c>
      <c r="G17" t="s">
        <v>143</v>
      </c>
      <c r="H17" t="s">
        <v>80</v>
      </c>
      <c r="I17" t="s">
        <v>30</v>
      </c>
      <c r="J17" t="s">
        <v>82</v>
      </c>
      <c r="K17" t="s">
        <v>32</v>
      </c>
      <c r="L17">
        <v>519181</v>
      </c>
      <c r="M17" t="s">
        <v>33</v>
      </c>
      <c r="N17" t="s">
        <v>91</v>
      </c>
      <c r="O17" t="s">
        <v>144</v>
      </c>
      <c r="P17" t="s">
        <v>145</v>
      </c>
      <c r="Q17" t="s">
        <v>146</v>
      </c>
      <c r="R17" s="3">
        <v>11753.24</v>
      </c>
      <c r="S17">
        <v>10</v>
      </c>
      <c r="T17">
        <v>25</v>
      </c>
      <c r="U17" s="3">
        <v>-5.65</v>
      </c>
      <c r="V17" s="3">
        <v>5154.46</v>
      </c>
      <c r="W17" t="s">
        <v>69</v>
      </c>
      <c r="X17">
        <v>2025</v>
      </c>
      <c r="Y17" t="s">
        <v>70</v>
      </c>
      <c r="Z17" t="str">
        <f t="shared" si="5"/>
        <v>Jan</v>
      </c>
      <c r="AA17" t="str">
        <f t="shared" si="6"/>
        <v>Monday</v>
      </c>
      <c r="AB17" t="str">
        <f t="shared" si="7"/>
        <v>CAB</v>
      </c>
      <c r="AC17" t="str">
        <f t="shared" si="8"/>
        <v>Home Office</v>
      </c>
      <c r="AD17">
        <f t="shared" si="0"/>
        <v>117532.4</v>
      </c>
      <c r="AE17">
        <f t="shared" si="1"/>
        <v>29383.1</v>
      </c>
      <c r="AF17">
        <f t="shared" si="2"/>
        <v>88149.299999999988</v>
      </c>
      <c r="AG17" s="3">
        <f t="shared" si="3"/>
        <v>93303.76</v>
      </c>
      <c r="AH17">
        <f t="shared" si="4"/>
        <v>4</v>
      </c>
    </row>
    <row r="18" spans="1:34" x14ac:dyDescent="0.3">
      <c r="A18">
        <v>17</v>
      </c>
      <c r="B18" t="s">
        <v>147</v>
      </c>
      <c r="C18" s="2">
        <v>45716</v>
      </c>
      <c r="D18" s="2">
        <v>45721</v>
      </c>
      <c r="E18" t="s">
        <v>26</v>
      </c>
      <c r="F18" t="s">
        <v>148</v>
      </c>
      <c r="G18" t="s">
        <v>149</v>
      </c>
      <c r="H18" t="s">
        <v>29</v>
      </c>
      <c r="I18" t="s">
        <v>30</v>
      </c>
      <c r="J18" t="s">
        <v>81</v>
      </c>
      <c r="K18" t="s">
        <v>32</v>
      </c>
      <c r="L18">
        <v>466235</v>
      </c>
      <c r="M18" t="s">
        <v>33</v>
      </c>
      <c r="N18" t="s">
        <v>66</v>
      </c>
      <c r="O18" t="s">
        <v>150</v>
      </c>
      <c r="P18" t="s">
        <v>135</v>
      </c>
      <c r="Q18" t="s">
        <v>68</v>
      </c>
      <c r="R18" s="3">
        <v>1240.3399999999999</v>
      </c>
      <c r="S18">
        <v>9</v>
      </c>
      <c r="T18">
        <v>20</v>
      </c>
      <c r="U18" s="3">
        <v>10.42</v>
      </c>
      <c r="V18" s="3">
        <v>406.93</v>
      </c>
      <c r="W18" t="s">
        <v>69</v>
      </c>
      <c r="X18">
        <v>2025</v>
      </c>
      <c r="Y18" t="s">
        <v>86</v>
      </c>
      <c r="Z18" t="str">
        <f t="shared" si="5"/>
        <v>Jan</v>
      </c>
      <c r="AA18" t="str">
        <f t="shared" si="6"/>
        <v>Tuesday</v>
      </c>
      <c r="AB18" t="str">
        <f t="shared" si="7"/>
        <v>ART</v>
      </c>
      <c r="AC18" t="str">
        <f t="shared" si="8"/>
        <v>Consumer</v>
      </c>
      <c r="AD18">
        <f t="shared" si="0"/>
        <v>11163.06</v>
      </c>
      <c r="AE18">
        <f t="shared" si="1"/>
        <v>2232.6120000000001</v>
      </c>
      <c r="AF18">
        <f t="shared" si="2"/>
        <v>8930.4480000000003</v>
      </c>
      <c r="AG18" s="3">
        <f t="shared" si="3"/>
        <v>9337.3780000000006</v>
      </c>
      <c r="AH18">
        <f t="shared" si="4"/>
        <v>5</v>
      </c>
    </row>
    <row r="19" spans="1:34" x14ac:dyDescent="0.3">
      <c r="A19">
        <v>18</v>
      </c>
      <c r="B19" t="s">
        <v>151</v>
      </c>
      <c r="C19" s="2">
        <v>45720</v>
      </c>
      <c r="D19" s="2">
        <v>45723</v>
      </c>
      <c r="E19" t="s">
        <v>62</v>
      </c>
      <c r="F19" t="s">
        <v>152</v>
      </c>
      <c r="G19" t="s">
        <v>153</v>
      </c>
      <c r="H19" t="s">
        <v>29</v>
      </c>
      <c r="I19" t="s">
        <v>111</v>
      </c>
      <c r="J19" t="s">
        <v>81</v>
      </c>
      <c r="K19" t="s">
        <v>32</v>
      </c>
      <c r="L19">
        <v>439955</v>
      </c>
      <c r="M19" t="s">
        <v>33</v>
      </c>
      <c r="N19" t="s">
        <v>91</v>
      </c>
      <c r="O19" t="s">
        <v>154</v>
      </c>
      <c r="P19" t="s">
        <v>135</v>
      </c>
      <c r="Q19" t="s">
        <v>59</v>
      </c>
      <c r="R19" s="3">
        <v>42344.86</v>
      </c>
      <c r="S19">
        <v>7</v>
      </c>
      <c r="T19">
        <v>15</v>
      </c>
      <c r="U19" s="3">
        <v>8.6300000000000008</v>
      </c>
      <c r="V19" s="3">
        <v>23428.17</v>
      </c>
      <c r="W19" t="s">
        <v>94</v>
      </c>
      <c r="X19">
        <v>2025</v>
      </c>
      <c r="Y19" t="s">
        <v>39</v>
      </c>
      <c r="Z19" t="str">
        <f t="shared" si="5"/>
        <v>Jan</v>
      </c>
      <c r="AA19" t="str">
        <f t="shared" si="6"/>
        <v>Wednesday</v>
      </c>
      <c r="AB19" t="str">
        <f t="shared" si="7"/>
        <v>ART</v>
      </c>
      <c r="AC19" t="str">
        <f t="shared" si="8"/>
        <v>Consumer</v>
      </c>
      <c r="AD19">
        <f t="shared" si="0"/>
        <v>296414.02</v>
      </c>
      <c r="AE19">
        <f t="shared" si="1"/>
        <v>44462.103000000003</v>
      </c>
      <c r="AF19">
        <f t="shared" si="2"/>
        <v>251951.91700000002</v>
      </c>
      <c r="AG19" s="3">
        <f t="shared" si="3"/>
        <v>275380.087</v>
      </c>
      <c r="AH19">
        <f t="shared" si="4"/>
        <v>3</v>
      </c>
    </row>
    <row r="20" spans="1:34" x14ac:dyDescent="0.3">
      <c r="A20">
        <v>19</v>
      </c>
      <c r="B20" t="s">
        <v>155</v>
      </c>
      <c r="C20" s="2">
        <v>45724</v>
      </c>
      <c r="D20" s="2">
        <v>45728</v>
      </c>
      <c r="E20" t="s">
        <v>62</v>
      </c>
      <c r="F20" t="s">
        <v>156</v>
      </c>
      <c r="G20" t="s">
        <v>157</v>
      </c>
      <c r="H20" t="s">
        <v>29</v>
      </c>
      <c r="I20" t="s">
        <v>104</v>
      </c>
      <c r="J20" t="s">
        <v>56</v>
      </c>
      <c r="K20" t="s">
        <v>32</v>
      </c>
      <c r="L20">
        <v>578353</v>
      </c>
      <c r="M20" t="s">
        <v>33</v>
      </c>
      <c r="N20" t="s">
        <v>34</v>
      </c>
      <c r="O20" t="s">
        <v>158</v>
      </c>
      <c r="P20" t="s">
        <v>145</v>
      </c>
      <c r="Q20" t="s">
        <v>59</v>
      </c>
      <c r="R20" s="3">
        <v>43138.33</v>
      </c>
      <c r="S20">
        <v>3</v>
      </c>
      <c r="T20">
        <v>0</v>
      </c>
      <c r="U20" s="3">
        <v>2.99</v>
      </c>
      <c r="V20" s="3">
        <v>5766.74</v>
      </c>
      <c r="W20" t="s">
        <v>85</v>
      </c>
      <c r="X20">
        <v>2025</v>
      </c>
      <c r="Y20" t="s">
        <v>100</v>
      </c>
      <c r="Z20" t="str">
        <f t="shared" si="5"/>
        <v>Jan</v>
      </c>
      <c r="AA20" t="str">
        <f t="shared" si="6"/>
        <v>Thursday</v>
      </c>
      <c r="AB20" t="str">
        <f t="shared" si="7"/>
        <v>CAB</v>
      </c>
      <c r="AC20" t="str">
        <f t="shared" si="8"/>
        <v>Consumer</v>
      </c>
      <c r="AD20">
        <f t="shared" si="0"/>
        <v>129414.99</v>
      </c>
      <c r="AE20">
        <f t="shared" si="1"/>
        <v>0</v>
      </c>
      <c r="AF20">
        <f t="shared" si="2"/>
        <v>129414.99</v>
      </c>
      <c r="AG20" s="3">
        <f t="shared" si="3"/>
        <v>135181.73000000001</v>
      </c>
      <c r="AH20">
        <f t="shared" si="4"/>
        <v>4</v>
      </c>
    </row>
    <row r="21" spans="1:34" x14ac:dyDescent="0.3">
      <c r="A21">
        <v>20</v>
      </c>
      <c r="B21" t="s">
        <v>159</v>
      </c>
      <c r="C21" s="2">
        <v>45727</v>
      </c>
      <c r="D21" s="2">
        <v>45730</v>
      </c>
      <c r="E21" t="s">
        <v>62</v>
      </c>
      <c r="F21" t="s">
        <v>160</v>
      </c>
      <c r="G21" t="s">
        <v>161</v>
      </c>
      <c r="H21" t="s">
        <v>80</v>
      </c>
      <c r="I21" t="s">
        <v>98</v>
      </c>
      <c r="J21" t="s">
        <v>31</v>
      </c>
      <c r="K21" t="s">
        <v>32</v>
      </c>
      <c r="L21">
        <v>479460</v>
      </c>
      <c r="M21" t="s">
        <v>33</v>
      </c>
      <c r="N21" t="s">
        <v>47</v>
      </c>
      <c r="O21" t="s">
        <v>162</v>
      </c>
      <c r="P21" t="s">
        <v>58</v>
      </c>
      <c r="Q21" t="s">
        <v>146</v>
      </c>
      <c r="R21" s="3">
        <v>12951.21</v>
      </c>
      <c r="S21">
        <v>3</v>
      </c>
      <c r="T21">
        <v>15</v>
      </c>
      <c r="U21" s="3">
        <v>26.17</v>
      </c>
      <c r="V21" s="3">
        <v>2861.41</v>
      </c>
      <c r="W21" t="s">
        <v>38</v>
      </c>
      <c r="X21">
        <v>2025</v>
      </c>
      <c r="Y21" t="s">
        <v>39</v>
      </c>
      <c r="Z21" t="str">
        <f t="shared" si="5"/>
        <v>Jan</v>
      </c>
      <c r="AA21" t="str">
        <f t="shared" si="6"/>
        <v>Friday</v>
      </c>
      <c r="AB21" t="str">
        <f t="shared" si="7"/>
        <v>MSW</v>
      </c>
      <c r="AC21" t="str">
        <f t="shared" si="8"/>
        <v>Home Office</v>
      </c>
      <c r="AD21">
        <f t="shared" si="0"/>
        <v>38853.629999999997</v>
      </c>
      <c r="AE21">
        <f t="shared" si="1"/>
        <v>5828.0444999999991</v>
      </c>
      <c r="AF21">
        <f t="shared" si="2"/>
        <v>33025.585500000001</v>
      </c>
      <c r="AG21" s="3">
        <f t="shared" si="3"/>
        <v>35886.995500000005</v>
      </c>
      <c r="AH21">
        <f t="shared" si="4"/>
        <v>3</v>
      </c>
    </row>
    <row r="22" spans="1:34" x14ac:dyDescent="0.3">
      <c r="A22">
        <v>21</v>
      </c>
      <c r="B22" t="s">
        <v>163</v>
      </c>
      <c r="C22" s="2">
        <v>45731</v>
      </c>
      <c r="D22" s="2">
        <v>45732</v>
      </c>
      <c r="E22" t="s">
        <v>41</v>
      </c>
      <c r="F22" t="s">
        <v>164</v>
      </c>
      <c r="G22" t="s">
        <v>165</v>
      </c>
      <c r="H22" t="s">
        <v>44</v>
      </c>
      <c r="I22" t="s">
        <v>111</v>
      </c>
      <c r="J22" t="s">
        <v>46</v>
      </c>
      <c r="K22" t="s">
        <v>32</v>
      </c>
      <c r="L22">
        <v>595005</v>
      </c>
      <c r="M22" t="s">
        <v>33</v>
      </c>
      <c r="N22" t="s">
        <v>47</v>
      </c>
      <c r="O22" t="s">
        <v>166</v>
      </c>
      <c r="P22" t="s">
        <v>58</v>
      </c>
      <c r="Q22" t="s">
        <v>130</v>
      </c>
      <c r="R22" s="3">
        <v>16698.11</v>
      </c>
      <c r="S22">
        <v>2</v>
      </c>
      <c r="T22">
        <v>0</v>
      </c>
      <c r="U22" s="3">
        <v>14.79</v>
      </c>
      <c r="V22" s="3">
        <v>1128.7</v>
      </c>
      <c r="W22" t="s">
        <v>85</v>
      </c>
      <c r="X22">
        <v>2025</v>
      </c>
      <c r="Y22" t="s">
        <v>167</v>
      </c>
      <c r="Z22" t="str">
        <f t="shared" si="5"/>
        <v>Jan</v>
      </c>
      <c r="AA22" t="str">
        <f t="shared" si="6"/>
        <v>Saturday</v>
      </c>
      <c r="AB22" t="str">
        <f t="shared" si="7"/>
        <v>MSW</v>
      </c>
      <c r="AC22" t="str">
        <f t="shared" si="8"/>
        <v>Corporate</v>
      </c>
      <c r="AD22">
        <f t="shared" si="0"/>
        <v>33396.22</v>
      </c>
      <c r="AE22">
        <f t="shared" si="1"/>
        <v>0</v>
      </c>
      <c r="AF22">
        <f t="shared" si="2"/>
        <v>33396.22</v>
      </c>
      <c r="AG22" s="3">
        <f t="shared" si="3"/>
        <v>34524.92</v>
      </c>
      <c r="AH22">
        <f t="shared" si="4"/>
        <v>1</v>
      </c>
    </row>
    <row r="23" spans="1:34" x14ac:dyDescent="0.3">
      <c r="A23">
        <v>22</v>
      </c>
      <c r="B23" t="s">
        <v>168</v>
      </c>
      <c r="C23" s="2">
        <v>45735</v>
      </c>
      <c r="D23" s="2">
        <v>45736</v>
      </c>
      <c r="E23" t="s">
        <v>53</v>
      </c>
      <c r="F23" t="s">
        <v>169</v>
      </c>
      <c r="G23" t="s">
        <v>127</v>
      </c>
      <c r="H23" t="s">
        <v>44</v>
      </c>
      <c r="I23" t="s">
        <v>104</v>
      </c>
      <c r="J23" t="s">
        <v>81</v>
      </c>
      <c r="K23" t="s">
        <v>32</v>
      </c>
      <c r="L23">
        <v>600969</v>
      </c>
      <c r="M23" t="s">
        <v>33</v>
      </c>
      <c r="N23" t="s">
        <v>66</v>
      </c>
      <c r="O23" t="s">
        <v>170</v>
      </c>
      <c r="P23" t="s">
        <v>36</v>
      </c>
      <c r="Q23" t="s">
        <v>50</v>
      </c>
      <c r="R23" s="3">
        <v>596.12</v>
      </c>
      <c r="S23">
        <v>5</v>
      </c>
      <c r="T23">
        <v>5</v>
      </c>
      <c r="U23" s="3">
        <v>-5.95</v>
      </c>
      <c r="V23" s="3">
        <v>97.72</v>
      </c>
      <c r="W23" t="s">
        <v>94</v>
      </c>
      <c r="X23">
        <v>2025</v>
      </c>
      <c r="Y23" t="s">
        <v>60</v>
      </c>
      <c r="Z23" t="str">
        <f t="shared" si="5"/>
        <v>Jan</v>
      </c>
      <c r="AA23" t="str">
        <f t="shared" si="6"/>
        <v>Sunday</v>
      </c>
      <c r="AB23" t="str">
        <f t="shared" si="7"/>
        <v>MON</v>
      </c>
      <c r="AC23" t="str">
        <f t="shared" si="8"/>
        <v>Corporate</v>
      </c>
      <c r="AD23">
        <f t="shared" si="0"/>
        <v>2980.6</v>
      </c>
      <c r="AE23">
        <f t="shared" si="1"/>
        <v>149.03</v>
      </c>
      <c r="AF23">
        <f t="shared" si="2"/>
        <v>2831.5699999999997</v>
      </c>
      <c r="AG23" s="3">
        <f t="shared" si="3"/>
        <v>2929.2899999999995</v>
      </c>
      <c r="AH23">
        <f t="shared" si="4"/>
        <v>1</v>
      </c>
    </row>
    <row r="24" spans="1:34" x14ac:dyDescent="0.3">
      <c r="A24">
        <v>23</v>
      </c>
      <c r="B24" t="s">
        <v>171</v>
      </c>
      <c r="C24" s="2">
        <v>45738</v>
      </c>
      <c r="D24" s="2">
        <v>45742</v>
      </c>
      <c r="E24" t="s">
        <v>53</v>
      </c>
      <c r="F24" t="s">
        <v>172</v>
      </c>
      <c r="G24" t="s">
        <v>173</v>
      </c>
      <c r="H24" t="s">
        <v>29</v>
      </c>
      <c r="I24" t="s">
        <v>45</v>
      </c>
      <c r="J24" t="s">
        <v>56</v>
      </c>
      <c r="K24" t="s">
        <v>32</v>
      </c>
      <c r="L24">
        <v>459164</v>
      </c>
      <c r="M24" t="s">
        <v>33</v>
      </c>
      <c r="N24" t="s">
        <v>74</v>
      </c>
      <c r="O24" t="s">
        <v>174</v>
      </c>
      <c r="P24" t="s">
        <v>135</v>
      </c>
      <c r="Q24" t="s">
        <v>114</v>
      </c>
      <c r="R24" s="3">
        <v>1412.37</v>
      </c>
      <c r="S24">
        <v>3</v>
      </c>
      <c r="T24">
        <v>25</v>
      </c>
      <c r="U24" s="3">
        <v>1.01</v>
      </c>
      <c r="V24" s="3">
        <v>92.66</v>
      </c>
      <c r="W24" t="s">
        <v>85</v>
      </c>
      <c r="X24">
        <v>2025</v>
      </c>
      <c r="Y24" t="s">
        <v>167</v>
      </c>
      <c r="Z24" t="str">
        <f t="shared" si="5"/>
        <v>Jan</v>
      </c>
      <c r="AA24" t="str">
        <f t="shared" si="6"/>
        <v>Monday</v>
      </c>
      <c r="AB24" t="str">
        <f t="shared" si="7"/>
        <v>ART</v>
      </c>
      <c r="AC24" t="str">
        <f t="shared" si="8"/>
        <v>Consumer</v>
      </c>
      <c r="AD24">
        <f t="shared" si="0"/>
        <v>4237.1099999999997</v>
      </c>
      <c r="AE24">
        <f t="shared" si="1"/>
        <v>1059.2774999999999</v>
      </c>
      <c r="AF24">
        <f t="shared" si="2"/>
        <v>3177.8324999999995</v>
      </c>
      <c r="AG24" s="3">
        <f t="shared" si="3"/>
        <v>3270.4924999999994</v>
      </c>
      <c r="AH24">
        <f t="shared" si="4"/>
        <v>4</v>
      </c>
    </row>
    <row r="25" spans="1:34" x14ac:dyDescent="0.3">
      <c r="A25">
        <v>24</v>
      </c>
      <c r="B25" t="s">
        <v>175</v>
      </c>
      <c r="C25" s="2">
        <v>45742</v>
      </c>
      <c r="D25" s="2">
        <v>45746</v>
      </c>
      <c r="E25" t="s">
        <v>62</v>
      </c>
      <c r="F25" t="s">
        <v>176</v>
      </c>
      <c r="G25" t="s">
        <v>177</v>
      </c>
      <c r="H25" t="s">
        <v>44</v>
      </c>
      <c r="I25" t="s">
        <v>81</v>
      </c>
      <c r="J25" t="s">
        <v>82</v>
      </c>
      <c r="K25" t="s">
        <v>32</v>
      </c>
      <c r="L25">
        <v>451935</v>
      </c>
      <c r="M25" t="s">
        <v>33</v>
      </c>
      <c r="N25" t="s">
        <v>66</v>
      </c>
      <c r="O25" t="s">
        <v>178</v>
      </c>
      <c r="P25" t="s">
        <v>49</v>
      </c>
      <c r="Q25" t="s">
        <v>37</v>
      </c>
      <c r="R25" s="3">
        <v>6789.8</v>
      </c>
      <c r="S25">
        <v>6</v>
      </c>
      <c r="T25">
        <v>0</v>
      </c>
      <c r="U25" s="3">
        <v>24.16</v>
      </c>
      <c r="V25" s="3">
        <v>2407.66</v>
      </c>
      <c r="W25" t="s">
        <v>69</v>
      </c>
      <c r="X25">
        <v>2025</v>
      </c>
      <c r="Y25" t="s">
        <v>76</v>
      </c>
      <c r="Z25" t="str">
        <f t="shared" si="5"/>
        <v>Jan</v>
      </c>
      <c r="AA25" t="str">
        <f t="shared" si="6"/>
        <v>Tuesday</v>
      </c>
      <c r="AB25" t="str">
        <f t="shared" si="7"/>
        <v>CH</v>
      </c>
      <c r="AC25" t="str">
        <f t="shared" si="8"/>
        <v>Corporate</v>
      </c>
      <c r="AD25">
        <f t="shared" si="0"/>
        <v>40738.800000000003</v>
      </c>
      <c r="AE25">
        <f t="shared" si="1"/>
        <v>0</v>
      </c>
      <c r="AF25">
        <f t="shared" si="2"/>
        <v>40738.800000000003</v>
      </c>
      <c r="AG25" s="3">
        <f t="shared" si="3"/>
        <v>43146.460000000006</v>
      </c>
      <c r="AH25">
        <f t="shared" si="4"/>
        <v>4</v>
      </c>
    </row>
    <row r="26" spans="1:34" x14ac:dyDescent="0.3">
      <c r="A26">
        <v>25</v>
      </c>
      <c r="B26" t="s">
        <v>179</v>
      </c>
      <c r="C26" s="2">
        <v>45746</v>
      </c>
      <c r="D26" s="2">
        <v>45752</v>
      </c>
      <c r="E26" t="s">
        <v>53</v>
      </c>
      <c r="F26" t="s">
        <v>180</v>
      </c>
      <c r="G26" t="s">
        <v>181</v>
      </c>
      <c r="H26" t="s">
        <v>80</v>
      </c>
      <c r="I26" t="s">
        <v>111</v>
      </c>
      <c r="J26" t="s">
        <v>90</v>
      </c>
      <c r="K26" t="s">
        <v>32</v>
      </c>
      <c r="L26">
        <v>595968</v>
      </c>
      <c r="M26" t="s">
        <v>33</v>
      </c>
      <c r="N26" t="s">
        <v>74</v>
      </c>
      <c r="O26" t="s">
        <v>182</v>
      </c>
      <c r="P26" t="s">
        <v>84</v>
      </c>
      <c r="Q26" t="s">
        <v>93</v>
      </c>
      <c r="R26" s="3">
        <v>2996.12</v>
      </c>
      <c r="S26">
        <v>2</v>
      </c>
      <c r="T26">
        <v>15</v>
      </c>
      <c r="U26" s="3">
        <v>-6.19</v>
      </c>
      <c r="V26" s="3">
        <v>252.34</v>
      </c>
      <c r="W26" t="s">
        <v>38</v>
      </c>
      <c r="X26">
        <v>2025</v>
      </c>
      <c r="Y26" t="s">
        <v>70</v>
      </c>
      <c r="Z26" t="str">
        <f t="shared" si="5"/>
        <v>Jan</v>
      </c>
      <c r="AA26" t="str">
        <f t="shared" si="6"/>
        <v>Wednesday</v>
      </c>
      <c r="AB26" t="str">
        <f t="shared" si="7"/>
        <v>TBL</v>
      </c>
      <c r="AC26" t="str">
        <f t="shared" si="8"/>
        <v>Home Office</v>
      </c>
      <c r="AD26">
        <f t="shared" si="0"/>
        <v>5992.24</v>
      </c>
      <c r="AE26">
        <f t="shared" si="1"/>
        <v>898.8359999999999</v>
      </c>
      <c r="AF26">
        <f t="shared" si="2"/>
        <v>5093.4039999999995</v>
      </c>
      <c r="AG26" s="3">
        <f t="shared" si="3"/>
        <v>5345.7439999999997</v>
      </c>
      <c r="AH26">
        <f t="shared" si="4"/>
        <v>6</v>
      </c>
    </row>
    <row r="27" spans="1:34" x14ac:dyDescent="0.3">
      <c r="A27">
        <v>26</v>
      </c>
      <c r="B27" t="s">
        <v>183</v>
      </c>
      <c r="C27" s="2">
        <v>45749</v>
      </c>
      <c r="D27" s="2">
        <v>45754</v>
      </c>
      <c r="E27" t="s">
        <v>53</v>
      </c>
      <c r="F27" t="s">
        <v>184</v>
      </c>
      <c r="G27" t="s">
        <v>185</v>
      </c>
      <c r="H27" t="s">
        <v>80</v>
      </c>
      <c r="I27" t="s">
        <v>111</v>
      </c>
      <c r="J27" t="s">
        <v>105</v>
      </c>
      <c r="K27" t="s">
        <v>32</v>
      </c>
      <c r="L27">
        <v>716243</v>
      </c>
      <c r="M27" t="s">
        <v>33</v>
      </c>
      <c r="N27" t="s">
        <v>91</v>
      </c>
      <c r="O27" t="s">
        <v>186</v>
      </c>
      <c r="P27" t="s">
        <v>36</v>
      </c>
      <c r="Q27" t="s">
        <v>37</v>
      </c>
      <c r="R27" s="3">
        <v>7624.56</v>
      </c>
      <c r="S27">
        <v>3</v>
      </c>
      <c r="T27">
        <v>20</v>
      </c>
      <c r="U27" s="3">
        <v>32.56</v>
      </c>
      <c r="V27" s="3">
        <v>1643.74</v>
      </c>
      <c r="W27" t="s">
        <v>94</v>
      </c>
      <c r="X27">
        <v>2025</v>
      </c>
      <c r="Y27" t="s">
        <v>76</v>
      </c>
      <c r="Z27" t="str">
        <f t="shared" si="5"/>
        <v>Jan</v>
      </c>
      <c r="AA27" t="str">
        <f t="shared" si="6"/>
        <v>Thursday</v>
      </c>
      <c r="AB27" t="str">
        <f t="shared" si="7"/>
        <v>MON</v>
      </c>
      <c r="AC27" t="str">
        <f t="shared" si="8"/>
        <v>Home Office</v>
      </c>
      <c r="AD27">
        <f t="shared" si="0"/>
        <v>22873.68</v>
      </c>
      <c r="AE27">
        <f t="shared" si="1"/>
        <v>4574.7359999999999</v>
      </c>
      <c r="AF27">
        <f t="shared" si="2"/>
        <v>18298.944</v>
      </c>
      <c r="AG27" s="3">
        <f t="shared" si="3"/>
        <v>19942.684000000001</v>
      </c>
      <c r="AH27">
        <f t="shared" si="4"/>
        <v>5</v>
      </c>
    </row>
    <row r="28" spans="1:34" x14ac:dyDescent="0.3">
      <c r="A28">
        <v>27</v>
      </c>
      <c r="B28" t="s">
        <v>187</v>
      </c>
      <c r="C28" s="2">
        <v>45753</v>
      </c>
      <c r="D28" s="2">
        <v>45759</v>
      </c>
      <c r="E28" t="s">
        <v>62</v>
      </c>
      <c r="F28" t="s">
        <v>188</v>
      </c>
      <c r="G28" t="s">
        <v>189</v>
      </c>
      <c r="H28" t="s">
        <v>44</v>
      </c>
      <c r="I28" t="s">
        <v>98</v>
      </c>
      <c r="J28" t="s">
        <v>105</v>
      </c>
      <c r="K28" t="s">
        <v>32</v>
      </c>
      <c r="L28">
        <v>405487</v>
      </c>
      <c r="M28" t="s">
        <v>33</v>
      </c>
      <c r="N28" t="s">
        <v>91</v>
      </c>
      <c r="O28" t="s">
        <v>190</v>
      </c>
      <c r="P28" t="s">
        <v>191</v>
      </c>
      <c r="Q28" t="s">
        <v>146</v>
      </c>
      <c r="R28" s="3">
        <v>11811.42</v>
      </c>
      <c r="S28">
        <v>5</v>
      </c>
      <c r="T28">
        <v>0</v>
      </c>
      <c r="U28" s="3">
        <v>14.76</v>
      </c>
      <c r="V28" s="3">
        <v>2857.93</v>
      </c>
      <c r="W28" t="s">
        <v>94</v>
      </c>
      <c r="X28">
        <v>2025</v>
      </c>
      <c r="Y28" t="s">
        <v>100</v>
      </c>
      <c r="Z28" t="str">
        <f t="shared" si="5"/>
        <v>Jan</v>
      </c>
      <c r="AA28" t="str">
        <f t="shared" si="6"/>
        <v>Friday</v>
      </c>
      <c r="AB28" t="str">
        <f t="shared" si="7"/>
        <v>BIN</v>
      </c>
      <c r="AC28" t="str">
        <f t="shared" si="8"/>
        <v>Corporate</v>
      </c>
      <c r="AD28">
        <f t="shared" si="0"/>
        <v>59057.1</v>
      </c>
      <c r="AE28">
        <f t="shared" si="1"/>
        <v>0</v>
      </c>
      <c r="AF28">
        <f t="shared" si="2"/>
        <v>59057.1</v>
      </c>
      <c r="AG28" s="3">
        <f t="shared" si="3"/>
        <v>61915.03</v>
      </c>
      <c r="AH28">
        <f t="shared" si="4"/>
        <v>6</v>
      </c>
    </row>
    <row r="29" spans="1:34" x14ac:dyDescent="0.3">
      <c r="A29">
        <v>28</v>
      </c>
      <c r="B29" t="s">
        <v>192</v>
      </c>
      <c r="C29" s="2">
        <v>45757</v>
      </c>
      <c r="D29" s="2">
        <v>45762</v>
      </c>
      <c r="E29" t="s">
        <v>62</v>
      </c>
      <c r="F29" t="s">
        <v>193</v>
      </c>
      <c r="G29" t="s">
        <v>73</v>
      </c>
      <c r="H29" t="s">
        <v>44</v>
      </c>
      <c r="I29" t="s">
        <v>65</v>
      </c>
      <c r="J29" t="s">
        <v>46</v>
      </c>
      <c r="K29" t="s">
        <v>32</v>
      </c>
      <c r="L29">
        <v>539408</v>
      </c>
      <c r="M29" t="s">
        <v>33</v>
      </c>
      <c r="N29" t="s">
        <v>34</v>
      </c>
      <c r="O29" t="s">
        <v>194</v>
      </c>
      <c r="P29" t="s">
        <v>145</v>
      </c>
      <c r="Q29" t="s">
        <v>59</v>
      </c>
      <c r="R29" s="3">
        <v>48534.05</v>
      </c>
      <c r="S29">
        <v>11</v>
      </c>
      <c r="T29">
        <v>25</v>
      </c>
      <c r="U29" s="3">
        <v>14.03</v>
      </c>
      <c r="V29" s="3">
        <v>41691.120000000003</v>
      </c>
      <c r="W29" t="s">
        <v>94</v>
      </c>
      <c r="X29">
        <v>2025</v>
      </c>
      <c r="Y29" t="s">
        <v>86</v>
      </c>
      <c r="Z29" t="str">
        <f t="shared" si="5"/>
        <v>Jan</v>
      </c>
      <c r="AA29" t="str">
        <f t="shared" si="6"/>
        <v>Saturday</v>
      </c>
      <c r="AB29" t="str">
        <f t="shared" si="7"/>
        <v>CAB</v>
      </c>
      <c r="AC29" t="str">
        <f t="shared" si="8"/>
        <v>Corporate</v>
      </c>
      <c r="AD29">
        <f t="shared" si="0"/>
        <v>533874.55000000005</v>
      </c>
      <c r="AE29">
        <f t="shared" si="1"/>
        <v>133468.63750000001</v>
      </c>
      <c r="AF29">
        <f t="shared" si="2"/>
        <v>400405.91250000003</v>
      </c>
      <c r="AG29" s="3">
        <f t="shared" si="3"/>
        <v>442097.03250000003</v>
      </c>
      <c r="AH29">
        <f t="shared" si="4"/>
        <v>5</v>
      </c>
    </row>
    <row r="30" spans="1:34" x14ac:dyDescent="0.3">
      <c r="A30">
        <v>29</v>
      </c>
      <c r="B30" t="s">
        <v>195</v>
      </c>
      <c r="C30" s="2">
        <v>45760</v>
      </c>
      <c r="D30" s="2">
        <v>45766</v>
      </c>
      <c r="E30" t="s">
        <v>26</v>
      </c>
      <c r="F30" t="s">
        <v>196</v>
      </c>
      <c r="G30" t="s">
        <v>79</v>
      </c>
      <c r="H30" t="s">
        <v>29</v>
      </c>
      <c r="I30" t="s">
        <v>45</v>
      </c>
      <c r="J30" t="s">
        <v>81</v>
      </c>
      <c r="K30" t="s">
        <v>32</v>
      </c>
      <c r="L30">
        <v>749045</v>
      </c>
      <c r="M30" t="s">
        <v>33</v>
      </c>
      <c r="N30" t="s">
        <v>74</v>
      </c>
      <c r="O30" t="s">
        <v>197</v>
      </c>
      <c r="P30" t="s">
        <v>135</v>
      </c>
      <c r="Q30" t="s">
        <v>130</v>
      </c>
      <c r="R30" s="3">
        <v>19674.54</v>
      </c>
      <c r="S30">
        <v>11</v>
      </c>
      <c r="T30">
        <v>0</v>
      </c>
      <c r="U30" s="3">
        <v>19.62</v>
      </c>
      <c r="V30" s="3">
        <v>6737.48</v>
      </c>
      <c r="W30" t="s">
        <v>38</v>
      </c>
      <c r="X30">
        <v>2025</v>
      </c>
      <c r="Y30" t="s">
        <v>39</v>
      </c>
      <c r="Z30" t="str">
        <f t="shared" si="5"/>
        <v>Jan</v>
      </c>
      <c r="AA30" t="str">
        <f t="shared" si="6"/>
        <v>Sunday</v>
      </c>
      <c r="AB30" t="str">
        <f t="shared" si="7"/>
        <v>ART</v>
      </c>
      <c r="AC30" t="str">
        <f t="shared" si="8"/>
        <v>Consumer</v>
      </c>
      <c r="AD30">
        <f t="shared" si="0"/>
        <v>216419.94</v>
      </c>
      <c r="AE30">
        <f t="shared" si="1"/>
        <v>0</v>
      </c>
      <c r="AF30">
        <f t="shared" si="2"/>
        <v>216419.94</v>
      </c>
      <c r="AG30" s="3">
        <f t="shared" si="3"/>
        <v>223157.42</v>
      </c>
      <c r="AH30">
        <f t="shared" si="4"/>
        <v>6</v>
      </c>
    </row>
    <row r="31" spans="1:34" x14ac:dyDescent="0.3">
      <c r="A31">
        <v>30</v>
      </c>
      <c r="B31" t="s">
        <v>198</v>
      </c>
      <c r="C31" s="2">
        <v>45764</v>
      </c>
      <c r="D31" s="2">
        <v>45767</v>
      </c>
      <c r="E31" t="s">
        <v>53</v>
      </c>
      <c r="F31" t="s">
        <v>199</v>
      </c>
      <c r="G31" t="s">
        <v>200</v>
      </c>
      <c r="H31" t="s">
        <v>44</v>
      </c>
      <c r="I31" t="s">
        <v>98</v>
      </c>
      <c r="J31" t="s">
        <v>105</v>
      </c>
      <c r="K31" t="s">
        <v>32</v>
      </c>
      <c r="L31">
        <v>526021</v>
      </c>
      <c r="M31" t="s">
        <v>33</v>
      </c>
      <c r="N31" t="s">
        <v>34</v>
      </c>
      <c r="O31" t="s">
        <v>201</v>
      </c>
      <c r="P31" t="s">
        <v>36</v>
      </c>
      <c r="Q31" t="s">
        <v>59</v>
      </c>
      <c r="R31" s="3">
        <v>43576.36</v>
      </c>
      <c r="S31">
        <v>1</v>
      </c>
      <c r="T31">
        <v>10</v>
      </c>
      <c r="U31" s="3">
        <v>31.23</v>
      </c>
      <c r="V31" s="3">
        <v>3142.61</v>
      </c>
      <c r="W31" t="s">
        <v>69</v>
      </c>
      <c r="X31">
        <v>2025</v>
      </c>
      <c r="Y31" t="s">
        <v>167</v>
      </c>
      <c r="Z31" t="str">
        <f t="shared" si="5"/>
        <v>Jan</v>
      </c>
      <c r="AA31" t="str">
        <f t="shared" si="6"/>
        <v>Monday</v>
      </c>
      <c r="AB31" t="str">
        <f t="shared" si="7"/>
        <v>MON</v>
      </c>
      <c r="AC31" t="str">
        <f t="shared" si="8"/>
        <v>Corporate</v>
      </c>
      <c r="AD31">
        <f t="shared" si="0"/>
        <v>43576.36</v>
      </c>
      <c r="AE31">
        <f t="shared" si="1"/>
        <v>4357.6360000000004</v>
      </c>
      <c r="AF31">
        <f t="shared" si="2"/>
        <v>39218.724000000002</v>
      </c>
      <c r="AG31" s="3">
        <f t="shared" si="3"/>
        <v>42361.334000000003</v>
      </c>
      <c r="AH31">
        <f t="shared" si="4"/>
        <v>3</v>
      </c>
    </row>
    <row r="32" spans="1:34" x14ac:dyDescent="0.3">
      <c r="A32">
        <v>31</v>
      </c>
      <c r="B32" t="s">
        <v>202</v>
      </c>
      <c r="C32" s="2">
        <v>45768</v>
      </c>
      <c r="D32" s="2">
        <v>45772</v>
      </c>
      <c r="E32" t="s">
        <v>41</v>
      </c>
      <c r="F32" t="s">
        <v>203</v>
      </c>
      <c r="G32" t="s">
        <v>204</v>
      </c>
      <c r="H32" t="s">
        <v>29</v>
      </c>
      <c r="I32" t="s">
        <v>104</v>
      </c>
      <c r="J32" t="s">
        <v>31</v>
      </c>
      <c r="K32" t="s">
        <v>32</v>
      </c>
      <c r="L32">
        <v>502796</v>
      </c>
      <c r="M32" t="s">
        <v>33</v>
      </c>
      <c r="N32" t="s">
        <v>47</v>
      </c>
      <c r="O32" t="s">
        <v>205</v>
      </c>
      <c r="P32" t="s">
        <v>206</v>
      </c>
      <c r="Q32" t="s">
        <v>93</v>
      </c>
      <c r="R32" s="3">
        <v>3046.03</v>
      </c>
      <c r="S32">
        <v>1</v>
      </c>
      <c r="T32">
        <v>20</v>
      </c>
      <c r="U32" s="3">
        <v>7.39</v>
      </c>
      <c r="V32" s="3">
        <v>202.85</v>
      </c>
      <c r="W32" t="s">
        <v>94</v>
      </c>
      <c r="X32">
        <v>2025</v>
      </c>
      <c r="Y32" t="s">
        <v>51</v>
      </c>
      <c r="Z32" t="str">
        <f t="shared" si="5"/>
        <v>Jan</v>
      </c>
      <c r="AA32" t="str">
        <f t="shared" si="6"/>
        <v>Tuesday</v>
      </c>
      <c r="AB32" t="str">
        <f t="shared" si="7"/>
        <v>PH</v>
      </c>
      <c r="AC32" t="str">
        <f t="shared" si="8"/>
        <v>Consumer</v>
      </c>
      <c r="AD32">
        <f t="shared" si="0"/>
        <v>3046.03</v>
      </c>
      <c r="AE32">
        <f t="shared" si="1"/>
        <v>609.20600000000002</v>
      </c>
      <c r="AF32">
        <f t="shared" si="2"/>
        <v>2436.8240000000001</v>
      </c>
      <c r="AG32" s="3">
        <f t="shared" si="3"/>
        <v>2639.674</v>
      </c>
      <c r="AH32">
        <f t="shared" si="4"/>
        <v>4</v>
      </c>
    </row>
    <row r="33" spans="1:34" x14ac:dyDescent="0.3">
      <c r="A33">
        <v>32</v>
      </c>
      <c r="B33" t="s">
        <v>207</v>
      </c>
      <c r="C33" s="2">
        <v>45771</v>
      </c>
      <c r="D33" s="2">
        <v>45772</v>
      </c>
      <c r="E33" t="s">
        <v>62</v>
      </c>
      <c r="F33" t="s">
        <v>208</v>
      </c>
      <c r="G33" t="s">
        <v>209</v>
      </c>
      <c r="H33" t="s">
        <v>29</v>
      </c>
      <c r="I33" t="s">
        <v>104</v>
      </c>
      <c r="J33" t="s">
        <v>105</v>
      </c>
      <c r="K33" t="s">
        <v>32</v>
      </c>
      <c r="L33">
        <v>620185</v>
      </c>
      <c r="M33" t="s">
        <v>33</v>
      </c>
      <c r="N33" t="s">
        <v>74</v>
      </c>
      <c r="O33" t="s">
        <v>210</v>
      </c>
      <c r="P33" t="s">
        <v>206</v>
      </c>
      <c r="Q33" t="s">
        <v>59</v>
      </c>
      <c r="R33" s="3">
        <v>43917.23</v>
      </c>
      <c r="S33">
        <v>10</v>
      </c>
      <c r="T33">
        <v>25</v>
      </c>
      <c r="U33" s="3">
        <v>23.9</v>
      </c>
      <c r="V33" s="3">
        <v>29097.5</v>
      </c>
      <c r="W33" t="s">
        <v>85</v>
      </c>
      <c r="X33">
        <v>2025</v>
      </c>
      <c r="Y33" t="s">
        <v>167</v>
      </c>
      <c r="Z33" t="str">
        <f t="shared" si="5"/>
        <v>Feb</v>
      </c>
      <c r="AA33" t="str">
        <f t="shared" si="6"/>
        <v>Wednesday</v>
      </c>
      <c r="AB33" t="str">
        <f t="shared" si="7"/>
        <v>PH</v>
      </c>
      <c r="AC33" t="str">
        <f t="shared" si="8"/>
        <v>Consumer</v>
      </c>
      <c r="AD33">
        <f t="shared" si="0"/>
        <v>439172.30000000005</v>
      </c>
      <c r="AE33">
        <f t="shared" si="1"/>
        <v>109793.07500000001</v>
      </c>
      <c r="AF33">
        <f t="shared" si="2"/>
        <v>329379.22500000003</v>
      </c>
      <c r="AG33" s="3">
        <f t="shared" si="3"/>
        <v>358476.72500000003</v>
      </c>
      <c r="AH33">
        <f t="shared" si="4"/>
        <v>1</v>
      </c>
    </row>
    <row r="34" spans="1:34" x14ac:dyDescent="0.3">
      <c r="A34">
        <v>33</v>
      </c>
      <c r="B34" t="s">
        <v>211</v>
      </c>
      <c r="C34" s="2">
        <v>45775</v>
      </c>
      <c r="D34" s="2">
        <v>45780</v>
      </c>
      <c r="E34" t="s">
        <v>26</v>
      </c>
      <c r="F34" t="s">
        <v>212</v>
      </c>
      <c r="G34" t="s">
        <v>213</v>
      </c>
      <c r="H34" t="s">
        <v>80</v>
      </c>
      <c r="I34" t="s">
        <v>104</v>
      </c>
      <c r="J34" t="s">
        <v>105</v>
      </c>
      <c r="K34" t="s">
        <v>32</v>
      </c>
      <c r="L34">
        <v>542203</v>
      </c>
      <c r="M34" t="s">
        <v>33</v>
      </c>
      <c r="N34" t="s">
        <v>66</v>
      </c>
      <c r="O34" t="s">
        <v>214</v>
      </c>
      <c r="P34" t="s">
        <v>58</v>
      </c>
      <c r="Q34" t="s">
        <v>59</v>
      </c>
      <c r="R34" s="3">
        <v>45812.65</v>
      </c>
      <c r="S34">
        <v>9</v>
      </c>
      <c r="T34">
        <v>25</v>
      </c>
      <c r="U34" s="3">
        <v>18.29</v>
      </c>
      <c r="V34" s="3">
        <v>29145.23</v>
      </c>
      <c r="W34" t="s">
        <v>94</v>
      </c>
      <c r="X34">
        <v>2025</v>
      </c>
      <c r="Y34" t="s">
        <v>100</v>
      </c>
      <c r="Z34" t="str">
        <f t="shared" si="5"/>
        <v>Feb</v>
      </c>
      <c r="AA34" t="str">
        <f t="shared" si="6"/>
        <v>Thursday</v>
      </c>
      <c r="AB34" t="str">
        <f t="shared" si="7"/>
        <v>MSW</v>
      </c>
      <c r="AC34" t="str">
        <f t="shared" si="8"/>
        <v>Home Office</v>
      </c>
      <c r="AD34">
        <f t="shared" ref="AD34:AD65" si="9">R34*S34</f>
        <v>412313.85000000003</v>
      </c>
      <c r="AE34">
        <f t="shared" ref="AE34:AE65" si="10">AD34*(T34/100)</f>
        <v>103078.46250000001</v>
      </c>
      <c r="AF34">
        <f t="shared" ref="AF34:AF65" si="11">AD34-AE34</f>
        <v>309235.38750000001</v>
      </c>
      <c r="AG34" s="3">
        <f t="shared" ref="AG34:AG65" si="12">AF34+V34</f>
        <v>338380.61749999999</v>
      </c>
      <c r="AH34">
        <f t="shared" ref="AH34:AH65" si="13">D34-C34</f>
        <v>5</v>
      </c>
    </row>
    <row r="35" spans="1:34" x14ac:dyDescent="0.3">
      <c r="A35">
        <v>34</v>
      </c>
      <c r="B35" t="s">
        <v>215</v>
      </c>
      <c r="C35" s="2">
        <v>45779</v>
      </c>
      <c r="D35" s="2">
        <v>45784</v>
      </c>
      <c r="E35" t="s">
        <v>41</v>
      </c>
      <c r="F35" t="s">
        <v>216</v>
      </c>
      <c r="G35" t="s">
        <v>217</v>
      </c>
      <c r="H35" t="s">
        <v>80</v>
      </c>
      <c r="I35" t="s">
        <v>139</v>
      </c>
      <c r="J35" t="s">
        <v>105</v>
      </c>
      <c r="K35" t="s">
        <v>32</v>
      </c>
      <c r="L35">
        <v>749653</v>
      </c>
      <c r="M35" t="s">
        <v>33</v>
      </c>
      <c r="N35" t="s">
        <v>47</v>
      </c>
      <c r="O35" t="s">
        <v>218</v>
      </c>
      <c r="P35" t="s">
        <v>145</v>
      </c>
      <c r="Q35" t="s">
        <v>93</v>
      </c>
      <c r="R35" s="3">
        <v>3051.56</v>
      </c>
      <c r="S35">
        <v>7</v>
      </c>
      <c r="T35">
        <v>5</v>
      </c>
      <c r="U35" s="3">
        <v>3.35</v>
      </c>
      <c r="V35" s="3">
        <v>1402.59</v>
      </c>
      <c r="W35" t="s">
        <v>94</v>
      </c>
      <c r="X35">
        <v>2025</v>
      </c>
      <c r="Y35" t="s">
        <v>167</v>
      </c>
      <c r="Z35" t="str">
        <f t="shared" si="5"/>
        <v>Feb</v>
      </c>
      <c r="AA35" t="str">
        <f t="shared" si="6"/>
        <v>Friday</v>
      </c>
      <c r="AB35" t="str">
        <f t="shared" si="7"/>
        <v>CAB</v>
      </c>
      <c r="AC35" t="str">
        <f t="shared" si="8"/>
        <v>Home Office</v>
      </c>
      <c r="AD35">
        <f t="shared" si="9"/>
        <v>21360.92</v>
      </c>
      <c r="AE35">
        <f t="shared" si="10"/>
        <v>1068.046</v>
      </c>
      <c r="AF35">
        <f t="shared" si="11"/>
        <v>20292.874</v>
      </c>
      <c r="AG35" s="3">
        <f t="shared" si="12"/>
        <v>21695.464</v>
      </c>
      <c r="AH35">
        <f t="shared" si="13"/>
        <v>5</v>
      </c>
    </row>
    <row r="36" spans="1:34" x14ac:dyDescent="0.3">
      <c r="A36">
        <v>35</v>
      </c>
      <c r="B36" t="s">
        <v>219</v>
      </c>
      <c r="C36" s="2">
        <v>45783</v>
      </c>
      <c r="D36" s="2">
        <v>45784</v>
      </c>
      <c r="E36" t="s">
        <v>53</v>
      </c>
      <c r="F36" t="s">
        <v>220</v>
      </c>
      <c r="G36" t="s">
        <v>221</v>
      </c>
      <c r="H36" t="s">
        <v>80</v>
      </c>
      <c r="I36" t="s">
        <v>104</v>
      </c>
      <c r="J36" t="s">
        <v>56</v>
      </c>
      <c r="K36" t="s">
        <v>32</v>
      </c>
      <c r="L36">
        <v>637028</v>
      </c>
      <c r="M36" t="s">
        <v>33</v>
      </c>
      <c r="N36" t="s">
        <v>47</v>
      </c>
      <c r="O36" t="s">
        <v>222</v>
      </c>
      <c r="P36" t="s">
        <v>84</v>
      </c>
      <c r="Q36" t="s">
        <v>114</v>
      </c>
      <c r="R36" s="3">
        <v>1537.24</v>
      </c>
      <c r="S36">
        <v>1</v>
      </c>
      <c r="T36">
        <v>15</v>
      </c>
      <c r="U36" s="3">
        <v>33.93</v>
      </c>
      <c r="V36" s="3">
        <v>88.5</v>
      </c>
      <c r="W36" t="s">
        <v>94</v>
      </c>
      <c r="X36">
        <v>2025</v>
      </c>
      <c r="Y36" t="s">
        <v>100</v>
      </c>
      <c r="Z36" t="str">
        <f t="shared" si="5"/>
        <v>Feb</v>
      </c>
      <c r="AA36" t="str">
        <f t="shared" si="6"/>
        <v>Saturday</v>
      </c>
      <c r="AB36" t="str">
        <f t="shared" si="7"/>
        <v>TBL</v>
      </c>
      <c r="AC36" t="str">
        <f t="shared" si="8"/>
        <v>Home Office</v>
      </c>
      <c r="AD36">
        <f t="shared" si="9"/>
        <v>1537.24</v>
      </c>
      <c r="AE36">
        <f t="shared" si="10"/>
        <v>230.58599999999998</v>
      </c>
      <c r="AF36">
        <f t="shared" si="11"/>
        <v>1306.654</v>
      </c>
      <c r="AG36" s="3">
        <f t="shared" si="12"/>
        <v>1395.154</v>
      </c>
      <c r="AH36">
        <f t="shared" si="13"/>
        <v>1</v>
      </c>
    </row>
    <row r="37" spans="1:34" x14ac:dyDescent="0.3">
      <c r="A37">
        <v>36</v>
      </c>
      <c r="B37" t="s">
        <v>223</v>
      </c>
      <c r="C37" s="2">
        <v>45786</v>
      </c>
      <c r="D37" s="2">
        <v>45792</v>
      </c>
      <c r="E37" t="s">
        <v>26</v>
      </c>
      <c r="F37" t="s">
        <v>224</v>
      </c>
      <c r="G37" t="s">
        <v>225</v>
      </c>
      <c r="H37" t="s">
        <v>80</v>
      </c>
      <c r="I37" t="s">
        <v>65</v>
      </c>
      <c r="J37" t="s">
        <v>56</v>
      </c>
      <c r="K37" t="s">
        <v>32</v>
      </c>
      <c r="L37">
        <v>518325</v>
      </c>
      <c r="M37" t="s">
        <v>33</v>
      </c>
      <c r="N37" t="s">
        <v>66</v>
      </c>
      <c r="O37" t="s">
        <v>226</v>
      </c>
      <c r="P37" t="s">
        <v>49</v>
      </c>
      <c r="Q37" t="s">
        <v>114</v>
      </c>
      <c r="R37" s="3">
        <v>1472.82</v>
      </c>
      <c r="S37">
        <v>8</v>
      </c>
      <c r="T37">
        <v>5</v>
      </c>
      <c r="U37" s="3">
        <v>29.87</v>
      </c>
      <c r="V37" s="3">
        <v>328.44</v>
      </c>
      <c r="W37" t="s">
        <v>94</v>
      </c>
      <c r="X37">
        <v>2025</v>
      </c>
      <c r="Y37" t="s">
        <v>51</v>
      </c>
      <c r="Z37" t="str">
        <f t="shared" si="5"/>
        <v>Feb</v>
      </c>
      <c r="AA37" t="str">
        <f t="shared" si="6"/>
        <v>Sunday</v>
      </c>
      <c r="AB37" t="str">
        <f t="shared" si="7"/>
        <v>CH</v>
      </c>
      <c r="AC37" t="str">
        <f t="shared" si="8"/>
        <v>Home Office</v>
      </c>
      <c r="AD37">
        <f t="shared" si="9"/>
        <v>11782.56</v>
      </c>
      <c r="AE37">
        <f t="shared" si="10"/>
        <v>589.12800000000004</v>
      </c>
      <c r="AF37">
        <f t="shared" si="11"/>
        <v>11193.431999999999</v>
      </c>
      <c r="AG37" s="3">
        <f t="shared" si="12"/>
        <v>11521.871999999999</v>
      </c>
      <c r="AH37">
        <f t="shared" si="13"/>
        <v>6</v>
      </c>
    </row>
    <row r="38" spans="1:34" x14ac:dyDescent="0.3">
      <c r="A38">
        <v>37</v>
      </c>
      <c r="B38" t="s">
        <v>227</v>
      </c>
      <c r="C38" s="2">
        <v>45790</v>
      </c>
      <c r="D38" s="2">
        <v>45795</v>
      </c>
      <c r="E38" t="s">
        <v>62</v>
      </c>
      <c r="F38" t="s">
        <v>228</v>
      </c>
      <c r="G38" t="s">
        <v>229</v>
      </c>
      <c r="H38" t="s">
        <v>44</v>
      </c>
      <c r="I38" t="s">
        <v>45</v>
      </c>
      <c r="J38" t="s">
        <v>81</v>
      </c>
      <c r="K38" t="s">
        <v>32</v>
      </c>
      <c r="L38">
        <v>722711</v>
      </c>
      <c r="M38" t="s">
        <v>33</v>
      </c>
      <c r="N38" t="s">
        <v>47</v>
      </c>
      <c r="O38" t="s">
        <v>230</v>
      </c>
      <c r="P38" t="s">
        <v>84</v>
      </c>
      <c r="Q38" t="s">
        <v>93</v>
      </c>
      <c r="R38" s="3">
        <v>3233.31</v>
      </c>
      <c r="S38">
        <v>3</v>
      </c>
      <c r="T38">
        <v>25</v>
      </c>
      <c r="U38" s="3">
        <v>22.92</v>
      </c>
      <c r="V38" s="3">
        <v>212.93</v>
      </c>
      <c r="W38" t="s">
        <v>69</v>
      </c>
      <c r="X38">
        <v>2025</v>
      </c>
      <c r="Y38" t="s">
        <v>76</v>
      </c>
      <c r="Z38" t="str">
        <f t="shared" si="5"/>
        <v>Feb</v>
      </c>
      <c r="AA38" t="str">
        <f t="shared" si="6"/>
        <v>Monday</v>
      </c>
      <c r="AB38" t="str">
        <f t="shared" si="7"/>
        <v>TBL</v>
      </c>
      <c r="AC38" t="str">
        <f t="shared" si="8"/>
        <v>Corporate</v>
      </c>
      <c r="AD38">
        <f t="shared" si="9"/>
        <v>9699.93</v>
      </c>
      <c r="AE38">
        <f t="shared" si="10"/>
        <v>2424.9825000000001</v>
      </c>
      <c r="AF38">
        <f t="shared" si="11"/>
        <v>7274.9475000000002</v>
      </c>
      <c r="AG38" s="3">
        <f t="shared" si="12"/>
        <v>7487.8775000000005</v>
      </c>
      <c r="AH38">
        <f t="shared" si="13"/>
        <v>5</v>
      </c>
    </row>
    <row r="39" spans="1:34" x14ac:dyDescent="0.3">
      <c r="A39">
        <v>38</v>
      </c>
      <c r="B39" t="s">
        <v>231</v>
      </c>
      <c r="C39" s="2">
        <v>45794</v>
      </c>
      <c r="D39" s="2">
        <v>45797</v>
      </c>
      <c r="E39" t="s">
        <v>41</v>
      </c>
      <c r="F39" t="s">
        <v>232</v>
      </c>
      <c r="G39" t="s">
        <v>233</v>
      </c>
      <c r="H39" t="s">
        <v>80</v>
      </c>
      <c r="I39" t="s">
        <v>30</v>
      </c>
      <c r="J39" t="s">
        <v>31</v>
      </c>
      <c r="K39" t="s">
        <v>32</v>
      </c>
      <c r="L39">
        <v>597776</v>
      </c>
      <c r="M39" t="s">
        <v>33</v>
      </c>
      <c r="N39" t="s">
        <v>74</v>
      </c>
      <c r="O39" t="s">
        <v>234</v>
      </c>
      <c r="P39" t="s">
        <v>84</v>
      </c>
      <c r="Q39" t="s">
        <v>130</v>
      </c>
      <c r="R39" s="3">
        <v>18263.669999999998</v>
      </c>
      <c r="S39">
        <v>8</v>
      </c>
      <c r="T39">
        <v>20</v>
      </c>
      <c r="U39" s="3">
        <v>32.53</v>
      </c>
      <c r="V39" s="3">
        <v>10994.86</v>
      </c>
      <c r="W39" t="s">
        <v>85</v>
      </c>
      <c r="X39">
        <v>2025</v>
      </c>
      <c r="Y39" t="s">
        <v>39</v>
      </c>
      <c r="Z39" t="str">
        <f t="shared" si="5"/>
        <v>Feb</v>
      </c>
      <c r="AA39" t="str">
        <f t="shared" si="6"/>
        <v>Tuesday</v>
      </c>
      <c r="AB39" t="str">
        <f t="shared" si="7"/>
        <v>TBL</v>
      </c>
      <c r="AC39" t="str">
        <f t="shared" si="8"/>
        <v>Home Office</v>
      </c>
      <c r="AD39">
        <f t="shared" si="9"/>
        <v>146109.35999999999</v>
      </c>
      <c r="AE39">
        <f t="shared" si="10"/>
        <v>29221.871999999999</v>
      </c>
      <c r="AF39">
        <f t="shared" si="11"/>
        <v>116887.48799999998</v>
      </c>
      <c r="AG39" s="3">
        <f t="shared" si="12"/>
        <v>127882.34799999998</v>
      </c>
      <c r="AH39">
        <f t="shared" si="13"/>
        <v>3</v>
      </c>
    </row>
    <row r="40" spans="1:34" x14ac:dyDescent="0.3">
      <c r="A40">
        <v>39</v>
      </c>
      <c r="B40" t="s">
        <v>235</v>
      </c>
      <c r="C40" s="2">
        <v>45797</v>
      </c>
      <c r="D40" s="2">
        <v>45801</v>
      </c>
      <c r="E40" t="s">
        <v>62</v>
      </c>
      <c r="F40" t="s">
        <v>236</v>
      </c>
      <c r="G40" t="s">
        <v>237</v>
      </c>
      <c r="H40" t="s">
        <v>44</v>
      </c>
      <c r="I40" t="s">
        <v>81</v>
      </c>
      <c r="J40" t="s">
        <v>81</v>
      </c>
      <c r="K40" t="s">
        <v>32</v>
      </c>
      <c r="L40">
        <v>689337</v>
      </c>
      <c r="M40" t="s">
        <v>33</v>
      </c>
      <c r="N40" t="s">
        <v>34</v>
      </c>
      <c r="O40" t="s">
        <v>238</v>
      </c>
      <c r="P40" t="s">
        <v>84</v>
      </c>
      <c r="Q40" t="s">
        <v>146</v>
      </c>
      <c r="R40" s="3">
        <v>11506.72</v>
      </c>
      <c r="S40">
        <v>5</v>
      </c>
      <c r="T40">
        <v>0</v>
      </c>
      <c r="U40" s="3">
        <v>33.36</v>
      </c>
      <c r="V40" s="3">
        <v>3279.36</v>
      </c>
      <c r="W40" t="s">
        <v>69</v>
      </c>
      <c r="X40">
        <v>2025</v>
      </c>
      <c r="Y40" t="s">
        <v>70</v>
      </c>
      <c r="Z40" t="str">
        <f t="shared" si="5"/>
        <v>Feb</v>
      </c>
      <c r="AA40" t="str">
        <f t="shared" si="6"/>
        <v>Wednesday</v>
      </c>
      <c r="AB40" t="str">
        <f t="shared" si="7"/>
        <v>TBL</v>
      </c>
      <c r="AC40" t="str">
        <f t="shared" si="8"/>
        <v>Corporate</v>
      </c>
      <c r="AD40">
        <f t="shared" si="9"/>
        <v>57533.599999999999</v>
      </c>
      <c r="AE40">
        <f t="shared" si="10"/>
        <v>0</v>
      </c>
      <c r="AF40">
        <f t="shared" si="11"/>
        <v>57533.599999999999</v>
      </c>
      <c r="AG40" s="3">
        <f t="shared" si="12"/>
        <v>60812.959999999999</v>
      </c>
      <c r="AH40">
        <f t="shared" si="13"/>
        <v>4</v>
      </c>
    </row>
    <row r="41" spans="1:34" x14ac:dyDescent="0.3">
      <c r="A41">
        <v>40</v>
      </c>
      <c r="B41" t="s">
        <v>239</v>
      </c>
      <c r="C41" s="2">
        <v>45801</v>
      </c>
      <c r="D41" s="2">
        <v>45802</v>
      </c>
      <c r="E41" t="s">
        <v>53</v>
      </c>
      <c r="F41" t="s">
        <v>240</v>
      </c>
      <c r="G41" t="s">
        <v>237</v>
      </c>
      <c r="H41" t="s">
        <v>80</v>
      </c>
      <c r="I41" t="s">
        <v>65</v>
      </c>
      <c r="J41" t="s">
        <v>56</v>
      </c>
      <c r="K41" t="s">
        <v>32</v>
      </c>
      <c r="L41">
        <v>663207</v>
      </c>
      <c r="M41" t="s">
        <v>33</v>
      </c>
      <c r="N41" t="s">
        <v>47</v>
      </c>
      <c r="O41" t="s">
        <v>241</v>
      </c>
      <c r="P41" t="s">
        <v>145</v>
      </c>
      <c r="Q41" t="s">
        <v>68</v>
      </c>
      <c r="R41" s="3">
        <v>1307.6300000000001</v>
      </c>
      <c r="S41">
        <v>1</v>
      </c>
      <c r="T41">
        <v>0</v>
      </c>
      <c r="U41" s="3">
        <v>25.42</v>
      </c>
      <c r="V41" s="3">
        <v>88.65</v>
      </c>
      <c r="W41" t="s">
        <v>85</v>
      </c>
      <c r="X41">
        <v>2025</v>
      </c>
      <c r="Y41" t="s">
        <v>86</v>
      </c>
      <c r="Z41" t="str">
        <f t="shared" si="5"/>
        <v>Feb</v>
      </c>
      <c r="AA41" t="str">
        <f t="shared" si="6"/>
        <v>Thursday</v>
      </c>
      <c r="AB41" t="str">
        <f t="shared" si="7"/>
        <v>CAB</v>
      </c>
      <c r="AC41" t="str">
        <f t="shared" si="8"/>
        <v>Home Office</v>
      </c>
      <c r="AD41">
        <f t="shared" si="9"/>
        <v>1307.6300000000001</v>
      </c>
      <c r="AE41">
        <f t="shared" si="10"/>
        <v>0</v>
      </c>
      <c r="AF41">
        <f t="shared" si="11"/>
        <v>1307.6300000000001</v>
      </c>
      <c r="AG41" s="3">
        <f t="shared" si="12"/>
        <v>1396.2800000000002</v>
      </c>
      <c r="AH41">
        <f t="shared" si="13"/>
        <v>1</v>
      </c>
    </row>
    <row r="42" spans="1:34" x14ac:dyDescent="0.3">
      <c r="A42">
        <v>41</v>
      </c>
      <c r="B42" t="s">
        <v>242</v>
      </c>
      <c r="C42" s="2">
        <v>45805</v>
      </c>
      <c r="D42" s="2">
        <v>45809</v>
      </c>
      <c r="E42" t="s">
        <v>41</v>
      </c>
      <c r="F42" t="s">
        <v>243</v>
      </c>
      <c r="G42" t="s">
        <v>244</v>
      </c>
      <c r="H42" t="s">
        <v>44</v>
      </c>
      <c r="I42" t="s">
        <v>65</v>
      </c>
      <c r="J42" t="s">
        <v>46</v>
      </c>
      <c r="K42" t="s">
        <v>32</v>
      </c>
      <c r="L42">
        <v>484077</v>
      </c>
      <c r="M42" t="s">
        <v>33</v>
      </c>
      <c r="N42" t="s">
        <v>74</v>
      </c>
      <c r="O42" t="s">
        <v>245</v>
      </c>
      <c r="P42" t="s">
        <v>84</v>
      </c>
      <c r="Q42" t="s">
        <v>59</v>
      </c>
      <c r="R42" s="3">
        <v>47372.45</v>
      </c>
      <c r="S42">
        <v>7</v>
      </c>
      <c r="T42">
        <v>20</v>
      </c>
      <c r="U42" s="3">
        <v>31.85</v>
      </c>
      <c r="V42" s="3">
        <v>16212.72</v>
      </c>
      <c r="W42" t="s">
        <v>94</v>
      </c>
      <c r="X42">
        <v>2025</v>
      </c>
      <c r="Y42" t="s">
        <v>70</v>
      </c>
      <c r="Z42" t="str">
        <f t="shared" si="5"/>
        <v>Feb</v>
      </c>
      <c r="AA42" t="str">
        <f t="shared" si="6"/>
        <v>Friday</v>
      </c>
      <c r="AB42" t="str">
        <f t="shared" si="7"/>
        <v>TBL</v>
      </c>
      <c r="AC42" t="str">
        <f t="shared" si="8"/>
        <v>Corporate</v>
      </c>
      <c r="AD42">
        <f t="shared" si="9"/>
        <v>331607.14999999997</v>
      </c>
      <c r="AE42">
        <f t="shared" si="10"/>
        <v>66321.429999999993</v>
      </c>
      <c r="AF42">
        <f t="shared" si="11"/>
        <v>265285.71999999997</v>
      </c>
      <c r="AG42" s="3">
        <f t="shared" si="12"/>
        <v>281498.43999999994</v>
      </c>
      <c r="AH42">
        <f t="shared" si="13"/>
        <v>4</v>
      </c>
    </row>
    <row r="43" spans="1:34" x14ac:dyDescent="0.3">
      <c r="A43">
        <v>42</v>
      </c>
      <c r="B43" t="s">
        <v>246</v>
      </c>
      <c r="C43" s="2">
        <v>45808</v>
      </c>
      <c r="D43" s="2">
        <v>45813</v>
      </c>
      <c r="E43" t="s">
        <v>53</v>
      </c>
      <c r="F43" t="s">
        <v>247</v>
      </c>
      <c r="G43" t="s">
        <v>248</v>
      </c>
      <c r="H43" t="s">
        <v>29</v>
      </c>
      <c r="I43" t="s">
        <v>139</v>
      </c>
      <c r="J43" t="s">
        <v>46</v>
      </c>
      <c r="K43" t="s">
        <v>32</v>
      </c>
      <c r="L43">
        <v>489781</v>
      </c>
      <c r="M43" t="s">
        <v>33</v>
      </c>
      <c r="N43" t="s">
        <v>91</v>
      </c>
      <c r="O43" t="s">
        <v>249</v>
      </c>
      <c r="P43" t="s">
        <v>191</v>
      </c>
      <c r="Q43" t="s">
        <v>130</v>
      </c>
      <c r="R43" s="3">
        <v>17168.419999999998</v>
      </c>
      <c r="S43">
        <v>5</v>
      </c>
      <c r="T43">
        <v>25</v>
      </c>
      <c r="U43" s="3">
        <v>24.87</v>
      </c>
      <c r="V43" s="3">
        <v>2321.04</v>
      </c>
      <c r="W43" t="s">
        <v>38</v>
      </c>
      <c r="X43">
        <v>2025</v>
      </c>
      <c r="Y43" t="s">
        <v>76</v>
      </c>
      <c r="Z43" t="str">
        <f t="shared" si="5"/>
        <v>Feb</v>
      </c>
      <c r="AA43" t="str">
        <f t="shared" si="6"/>
        <v>Saturday</v>
      </c>
      <c r="AB43" t="str">
        <f t="shared" si="7"/>
        <v>BIN</v>
      </c>
      <c r="AC43" t="str">
        <f t="shared" si="8"/>
        <v>Consumer</v>
      </c>
      <c r="AD43">
        <f t="shared" si="9"/>
        <v>85842.099999999991</v>
      </c>
      <c r="AE43">
        <f t="shared" si="10"/>
        <v>21460.524999999998</v>
      </c>
      <c r="AF43">
        <f t="shared" si="11"/>
        <v>64381.574999999997</v>
      </c>
      <c r="AG43" s="3">
        <f t="shared" si="12"/>
        <v>66702.614999999991</v>
      </c>
      <c r="AH43">
        <f t="shared" si="13"/>
        <v>5</v>
      </c>
    </row>
    <row r="44" spans="1:34" x14ac:dyDescent="0.3">
      <c r="A44">
        <v>43</v>
      </c>
      <c r="B44" t="s">
        <v>250</v>
      </c>
      <c r="C44" s="2">
        <v>45812</v>
      </c>
      <c r="D44" s="2">
        <v>45817</v>
      </c>
      <c r="E44" t="s">
        <v>53</v>
      </c>
      <c r="F44" t="s">
        <v>251</v>
      </c>
      <c r="G44" t="s">
        <v>252</v>
      </c>
      <c r="H44" t="s">
        <v>44</v>
      </c>
      <c r="I44" t="s">
        <v>30</v>
      </c>
      <c r="J44" t="s">
        <v>46</v>
      </c>
      <c r="K44" t="s">
        <v>32</v>
      </c>
      <c r="L44">
        <v>552618</v>
      </c>
      <c r="M44" t="s">
        <v>33</v>
      </c>
      <c r="N44" t="s">
        <v>74</v>
      </c>
      <c r="O44" t="s">
        <v>253</v>
      </c>
      <c r="P44" t="s">
        <v>145</v>
      </c>
      <c r="Q44" t="s">
        <v>59</v>
      </c>
      <c r="R44" s="3">
        <v>48316.21</v>
      </c>
      <c r="S44">
        <v>6</v>
      </c>
      <c r="T44">
        <v>0</v>
      </c>
      <c r="U44" s="3">
        <v>24.01</v>
      </c>
      <c r="V44" s="3">
        <v>7975.41</v>
      </c>
      <c r="W44" t="s">
        <v>69</v>
      </c>
      <c r="X44">
        <v>2025</v>
      </c>
      <c r="Y44" t="s">
        <v>86</v>
      </c>
      <c r="Z44" t="str">
        <f t="shared" si="5"/>
        <v>Feb</v>
      </c>
      <c r="AA44" t="str">
        <f t="shared" si="6"/>
        <v>Sunday</v>
      </c>
      <c r="AB44" t="str">
        <f t="shared" si="7"/>
        <v>CAB</v>
      </c>
      <c r="AC44" t="str">
        <f t="shared" si="8"/>
        <v>Corporate</v>
      </c>
      <c r="AD44">
        <f t="shared" si="9"/>
        <v>289897.26</v>
      </c>
      <c r="AE44">
        <f t="shared" si="10"/>
        <v>0</v>
      </c>
      <c r="AF44">
        <f t="shared" si="11"/>
        <v>289897.26</v>
      </c>
      <c r="AG44" s="3">
        <f t="shared" si="12"/>
        <v>297872.67</v>
      </c>
      <c r="AH44">
        <f t="shared" si="13"/>
        <v>5</v>
      </c>
    </row>
    <row r="45" spans="1:34" x14ac:dyDescent="0.3">
      <c r="A45">
        <v>44</v>
      </c>
      <c r="B45" t="s">
        <v>254</v>
      </c>
      <c r="C45" s="2">
        <v>45816</v>
      </c>
      <c r="D45" s="2">
        <v>45817</v>
      </c>
      <c r="E45" t="s">
        <v>26</v>
      </c>
      <c r="F45" t="s">
        <v>255</v>
      </c>
      <c r="G45" t="s">
        <v>213</v>
      </c>
      <c r="H45" t="s">
        <v>44</v>
      </c>
      <c r="I45" t="s">
        <v>30</v>
      </c>
      <c r="J45" t="s">
        <v>82</v>
      </c>
      <c r="K45" t="s">
        <v>32</v>
      </c>
      <c r="L45">
        <v>421690</v>
      </c>
      <c r="M45" t="s">
        <v>33</v>
      </c>
      <c r="N45" t="s">
        <v>34</v>
      </c>
      <c r="O45" t="s">
        <v>256</v>
      </c>
      <c r="P45" t="s">
        <v>191</v>
      </c>
      <c r="Q45" t="s">
        <v>68</v>
      </c>
      <c r="R45" s="3">
        <v>1196.98</v>
      </c>
      <c r="S45">
        <v>6</v>
      </c>
      <c r="T45">
        <v>0</v>
      </c>
      <c r="U45" s="3">
        <v>20.93</v>
      </c>
      <c r="V45" s="3">
        <v>439.06</v>
      </c>
      <c r="W45" t="s">
        <v>38</v>
      </c>
      <c r="X45">
        <v>2025</v>
      </c>
      <c r="Y45" t="s">
        <v>167</v>
      </c>
      <c r="Z45" t="str">
        <f t="shared" si="5"/>
        <v>Feb</v>
      </c>
      <c r="AA45" t="str">
        <f t="shared" si="6"/>
        <v>Monday</v>
      </c>
      <c r="AB45" t="str">
        <f t="shared" si="7"/>
        <v>BIN</v>
      </c>
      <c r="AC45" t="str">
        <f t="shared" si="8"/>
        <v>Corporate</v>
      </c>
      <c r="AD45">
        <f t="shared" si="9"/>
        <v>7181.88</v>
      </c>
      <c r="AE45">
        <f t="shared" si="10"/>
        <v>0</v>
      </c>
      <c r="AF45">
        <f t="shared" si="11"/>
        <v>7181.88</v>
      </c>
      <c r="AG45" s="3">
        <f t="shared" si="12"/>
        <v>7620.9400000000005</v>
      </c>
      <c r="AH45">
        <f t="shared" si="13"/>
        <v>1</v>
      </c>
    </row>
    <row r="46" spans="1:34" x14ac:dyDescent="0.3">
      <c r="A46">
        <v>45</v>
      </c>
      <c r="B46" t="s">
        <v>257</v>
      </c>
      <c r="C46" s="2">
        <v>45819</v>
      </c>
      <c r="D46" s="2">
        <v>45822</v>
      </c>
      <c r="E46" t="s">
        <v>62</v>
      </c>
      <c r="F46" t="s">
        <v>258</v>
      </c>
      <c r="G46" t="s">
        <v>259</v>
      </c>
      <c r="H46" t="s">
        <v>80</v>
      </c>
      <c r="I46" t="s">
        <v>81</v>
      </c>
      <c r="J46" t="s">
        <v>105</v>
      </c>
      <c r="K46" t="s">
        <v>32</v>
      </c>
      <c r="L46">
        <v>673319</v>
      </c>
      <c r="M46" t="s">
        <v>33</v>
      </c>
      <c r="N46" t="s">
        <v>74</v>
      </c>
      <c r="O46" t="s">
        <v>260</v>
      </c>
      <c r="P46" t="s">
        <v>145</v>
      </c>
      <c r="Q46" t="s">
        <v>146</v>
      </c>
      <c r="R46" s="3">
        <v>12946.93</v>
      </c>
      <c r="S46">
        <v>8</v>
      </c>
      <c r="T46">
        <v>0</v>
      </c>
      <c r="U46" s="3">
        <v>27.64</v>
      </c>
      <c r="V46" s="3">
        <v>4745.66</v>
      </c>
      <c r="W46" t="s">
        <v>69</v>
      </c>
      <c r="X46">
        <v>2025</v>
      </c>
      <c r="Y46" t="s">
        <v>51</v>
      </c>
      <c r="Z46" t="str">
        <f t="shared" si="5"/>
        <v>Feb</v>
      </c>
      <c r="AA46" t="str">
        <f t="shared" si="6"/>
        <v>Tuesday</v>
      </c>
      <c r="AB46" t="str">
        <f t="shared" si="7"/>
        <v>CAB</v>
      </c>
      <c r="AC46" t="str">
        <f t="shared" si="8"/>
        <v>Home Office</v>
      </c>
      <c r="AD46">
        <f t="shared" si="9"/>
        <v>103575.44</v>
      </c>
      <c r="AE46">
        <f t="shared" si="10"/>
        <v>0</v>
      </c>
      <c r="AF46">
        <f t="shared" si="11"/>
        <v>103575.44</v>
      </c>
      <c r="AG46" s="3">
        <f t="shared" si="12"/>
        <v>108321.1</v>
      </c>
      <c r="AH46">
        <f t="shared" si="13"/>
        <v>3</v>
      </c>
    </row>
    <row r="47" spans="1:34" x14ac:dyDescent="0.3">
      <c r="A47">
        <v>46</v>
      </c>
      <c r="B47" t="s">
        <v>261</v>
      </c>
      <c r="C47" s="2">
        <v>45823</v>
      </c>
      <c r="D47" s="2">
        <v>45825</v>
      </c>
      <c r="E47" t="s">
        <v>41</v>
      </c>
      <c r="F47" t="s">
        <v>262</v>
      </c>
      <c r="G47" t="s">
        <v>185</v>
      </c>
      <c r="H47" t="s">
        <v>44</v>
      </c>
      <c r="I47" t="s">
        <v>81</v>
      </c>
      <c r="J47" t="s">
        <v>82</v>
      </c>
      <c r="K47" t="s">
        <v>32</v>
      </c>
      <c r="L47">
        <v>750606</v>
      </c>
      <c r="M47" t="s">
        <v>33</v>
      </c>
      <c r="N47" t="s">
        <v>66</v>
      </c>
      <c r="O47" t="s">
        <v>263</v>
      </c>
      <c r="P47" t="s">
        <v>58</v>
      </c>
      <c r="Q47" t="s">
        <v>114</v>
      </c>
      <c r="R47" s="3">
        <v>1589.96</v>
      </c>
      <c r="S47">
        <v>9</v>
      </c>
      <c r="T47">
        <v>15</v>
      </c>
      <c r="U47" s="3">
        <v>-2.0699999999999998</v>
      </c>
      <c r="V47" s="3">
        <v>458.36</v>
      </c>
      <c r="W47" t="s">
        <v>94</v>
      </c>
      <c r="X47">
        <v>2025</v>
      </c>
      <c r="Y47" t="s">
        <v>51</v>
      </c>
      <c r="Z47" t="str">
        <f t="shared" si="5"/>
        <v>Feb</v>
      </c>
      <c r="AA47" t="str">
        <f t="shared" si="6"/>
        <v>Wednesday</v>
      </c>
      <c r="AB47" t="str">
        <f t="shared" si="7"/>
        <v>MSW</v>
      </c>
      <c r="AC47" t="str">
        <f t="shared" si="8"/>
        <v>Corporate</v>
      </c>
      <c r="AD47">
        <f t="shared" si="9"/>
        <v>14309.64</v>
      </c>
      <c r="AE47">
        <f t="shared" si="10"/>
        <v>2146.4459999999999</v>
      </c>
      <c r="AF47">
        <f t="shared" si="11"/>
        <v>12163.194</v>
      </c>
      <c r="AG47" s="3">
        <f t="shared" si="12"/>
        <v>12621.554</v>
      </c>
      <c r="AH47">
        <f t="shared" si="13"/>
        <v>2</v>
      </c>
    </row>
    <row r="48" spans="1:34" x14ac:dyDescent="0.3">
      <c r="A48">
        <v>47</v>
      </c>
      <c r="B48" t="s">
        <v>264</v>
      </c>
      <c r="C48" s="2">
        <v>45827</v>
      </c>
      <c r="D48" s="2">
        <v>45828</v>
      </c>
      <c r="E48" t="s">
        <v>53</v>
      </c>
      <c r="F48" t="s">
        <v>265</v>
      </c>
      <c r="G48" t="s">
        <v>266</v>
      </c>
      <c r="H48" t="s">
        <v>29</v>
      </c>
      <c r="I48" t="s">
        <v>30</v>
      </c>
      <c r="J48" t="s">
        <v>56</v>
      </c>
      <c r="K48" t="s">
        <v>32</v>
      </c>
      <c r="L48">
        <v>788319</v>
      </c>
      <c r="M48" t="s">
        <v>33</v>
      </c>
      <c r="N48" t="s">
        <v>34</v>
      </c>
      <c r="O48" t="s">
        <v>267</v>
      </c>
      <c r="P48" t="s">
        <v>36</v>
      </c>
      <c r="Q48" t="s">
        <v>130</v>
      </c>
      <c r="R48" s="3">
        <v>18223.29</v>
      </c>
      <c r="S48">
        <v>2</v>
      </c>
      <c r="T48">
        <v>15</v>
      </c>
      <c r="U48" s="3">
        <v>34.04</v>
      </c>
      <c r="V48" s="3">
        <v>1803.95</v>
      </c>
      <c r="W48" t="s">
        <v>69</v>
      </c>
      <c r="X48">
        <v>2025</v>
      </c>
      <c r="Y48" t="s">
        <v>60</v>
      </c>
      <c r="Z48" t="str">
        <f t="shared" si="5"/>
        <v>Feb</v>
      </c>
      <c r="AA48" t="str">
        <f t="shared" si="6"/>
        <v>Thursday</v>
      </c>
      <c r="AB48" t="str">
        <f t="shared" si="7"/>
        <v>MON</v>
      </c>
      <c r="AC48" t="str">
        <f t="shared" si="8"/>
        <v>Consumer</v>
      </c>
      <c r="AD48">
        <f t="shared" si="9"/>
        <v>36446.58</v>
      </c>
      <c r="AE48">
        <f t="shared" si="10"/>
        <v>5466.9870000000001</v>
      </c>
      <c r="AF48">
        <f t="shared" si="11"/>
        <v>30979.593000000001</v>
      </c>
      <c r="AG48" s="3">
        <f t="shared" si="12"/>
        <v>32783.542999999998</v>
      </c>
      <c r="AH48">
        <f t="shared" si="13"/>
        <v>1</v>
      </c>
    </row>
    <row r="49" spans="1:34" x14ac:dyDescent="0.3">
      <c r="A49">
        <v>48</v>
      </c>
      <c r="B49" t="s">
        <v>268</v>
      </c>
      <c r="C49" s="2">
        <v>45830</v>
      </c>
      <c r="D49" s="2">
        <v>45832</v>
      </c>
      <c r="E49" t="s">
        <v>53</v>
      </c>
      <c r="F49" t="s">
        <v>269</v>
      </c>
      <c r="G49" t="s">
        <v>270</v>
      </c>
      <c r="H49" t="s">
        <v>29</v>
      </c>
      <c r="I49" t="s">
        <v>104</v>
      </c>
      <c r="J49" t="s">
        <v>46</v>
      </c>
      <c r="K49" t="s">
        <v>32</v>
      </c>
      <c r="L49">
        <v>765178</v>
      </c>
      <c r="M49" t="s">
        <v>33</v>
      </c>
      <c r="N49" t="s">
        <v>91</v>
      </c>
      <c r="O49" t="s">
        <v>271</v>
      </c>
      <c r="P49" t="s">
        <v>206</v>
      </c>
      <c r="Q49" t="s">
        <v>50</v>
      </c>
      <c r="R49" s="3">
        <v>587.91999999999996</v>
      </c>
      <c r="S49">
        <v>9</v>
      </c>
      <c r="T49">
        <v>10</v>
      </c>
      <c r="U49" s="3">
        <v>33.590000000000003</v>
      </c>
      <c r="V49" s="3">
        <v>126.21</v>
      </c>
      <c r="W49" t="s">
        <v>94</v>
      </c>
      <c r="X49">
        <v>2025</v>
      </c>
      <c r="Y49" t="s">
        <v>76</v>
      </c>
      <c r="Z49" t="str">
        <f t="shared" si="5"/>
        <v>Feb</v>
      </c>
      <c r="AA49" t="str">
        <f t="shared" si="6"/>
        <v>Friday</v>
      </c>
      <c r="AB49" t="str">
        <f t="shared" si="7"/>
        <v>PH</v>
      </c>
      <c r="AC49" t="str">
        <f t="shared" si="8"/>
        <v>Consumer</v>
      </c>
      <c r="AD49">
        <f t="shared" si="9"/>
        <v>5291.28</v>
      </c>
      <c r="AE49">
        <f t="shared" si="10"/>
        <v>529.12800000000004</v>
      </c>
      <c r="AF49">
        <f t="shared" si="11"/>
        <v>4762.152</v>
      </c>
      <c r="AG49" s="3">
        <f t="shared" si="12"/>
        <v>4888.3620000000001</v>
      </c>
      <c r="AH49">
        <f t="shared" si="13"/>
        <v>2</v>
      </c>
    </row>
    <row r="50" spans="1:34" x14ac:dyDescent="0.3">
      <c r="A50">
        <v>49</v>
      </c>
      <c r="B50" t="s">
        <v>272</v>
      </c>
      <c r="C50" s="2">
        <v>45834</v>
      </c>
      <c r="D50" s="2">
        <v>45840</v>
      </c>
      <c r="E50" t="s">
        <v>41</v>
      </c>
      <c r="F50" t="s">
        <v>273</v>
      </c>
      <c r="G50" t="s">
        <v>157</v>
      </c>
      <c r="H50" t="s">
        <v>80</v>
      </c>
      <c r="I50" t="s">
        <v>65</v>
      </c>
      <c r="J50" t="s">
        <v>56</v>
      </c>
      <c r="K50" t="s">
        <v>32</v>
      </c>
      <c r="L50">
        <v>409349</v>
      </c>
      <c r="M50" t="s">
        <v>33</v>
      </c>
      <c r="N50" t="s">
        <v>66</v>
      </c>
      <c r="O50" t="s">
        <v>274</v>
      </c>
      <c r="P50" t="s">
        <v>84</v>
      </c>
      <c r="Q50" t="s">
        <v>50</v>
      </c>
      <c r="R50" s="3">
        <v>619.92999999999995</v>
      </c>
      <c r="S50">
        <v>11</v>
      </c>
      <c r="T50">
        <v>5</v>
      </c>
      <c r="U50" s="3">
        <v>-8.5399999999999991</v>
      </c>
      <c r="V50" s="3">
        <v>374.5</v>
      </c>
      <c r="W50" t="s">
        <v>69</v>
      </c>
      <c r="X50">
        <v>2025</v>
      </c>
      <c r="Y50" t="s">
        <v>76</v>
      </c>
      <c r="Z50" t="str">
        <f t="shared" si="5"/>
        <v>Feb</v>
      </c>
      <c r="AA50" t="str">
        <f t="shared" si="6"/>
        <v>Saturday</v>
      </c>
      <c r="AB50" t="str">
        <f t="shared" si="7"/>
        <v>TBL</v>
      </c>
      <c r="AC50" t="str">
        <f t="shared" si="8"/>
        <v>Home Office</v>
      </c>
      <c r="AD50">
        <f t="shared" si="9"/>
        <v>6819.23</v>
      </c>
      <c r="AE50">
        <f t="shared" si="10"/>
        <v>340.9615</v>
      </c>
      <c r="AF50">
        <f t="shared" si="11"/>
        <v>6478.2684999999992</v>
      </c>
      <c r="AG50" s="3">
        <f t="shared" si="12"/>
        <v>6852.7684999999992</v>
      </c>
      <c r="AH50">
        <f t="shared" si="13"/>
        <v>6</v>
      </c>
    </row>
    <row r="51" spans="1:34" x14ac:dyDescent="0.3">
      <c r="A51">
        <v>50</v>
      </c>
      <c r="B51" t="s">
        <v>275</v>
      </c>
      <c r="C51" s="2">
        <v>45838</v>
      </c>
      <c r="D51" s="2">
        <v>45840</v>
      </c>
      <c r="E51" t="s">
        <v>53</v>
      </c>
      <c r="F51" t="s">
        <v>276</v>
      </c>
      <c r="G51" t="s">
        <v>204</v>
      </c>
      <c r="H51" t="s">
        <v>29</v>
      </c>
      <c r="I51" t="s">
        <v>98</v>
      </c>
      <c r="J51" t="s">
        <v>31</v>
      </c>
      <c r="K51" t="s">
        <v>32</v>
      </c>
      <c r="L51">
        <v>438103</v>
      </c>
      <c r="M51" t="s">
        <v>33</v>
      </c>
      <c r="N51" t="s">
        <v>74</v>
      </c>
      <c r="O51" t="s">
        <v>277</v>
      </c>
      <c r="P51" t="s">
        <v>58</v>
      </c>
      <c r="Q51" t="s">
        <v>68</v>
      </c>
      <c r="R51" s="3">
        <v>1209.99</v>
      </c>
      <c r="S51">
        <v>10</v>
      </c>
      <c r="T51">
        <v>20</v>
      </c>
      <c r="U51" s="3">
        <v>31.29</v>
      </c>
      <c r="V51" s="3">
        <v>437.29</v>
      </c>
      <c r="W51" t="s">
        <v>94</v>
      </c>
      <c r="X51">
        <v>2025</v>
      </c>
      <c r="Y51" t="s">
        <v>39</v>
      </c>
      <c r="Z51" t="str">
        <f t="shared" si="5"/>
        <v>Feb</v>
      </c>
      <c r="AA51" t="str">
        <f t="shared" si="6"/>
        <v>Sunday</v>
      </c>
      <c r="AB51" t="str">
        <f t="shared" si="7"/>
        <v>MSW</v>
      </c>
      <c r="AC51" t="str">
        <f t="shared" si="8"/>
        <v>Consumer</v>
      </c>
      <c r="AD51">
        <f t="shared" si="9"/>
        <v>12099.9</v>
      </c>
      <c r="AE51">
        <f t="shared" si="10"/>
        <v>2419.98</v>
      </c>
      <c r="AF51">
        <f t="shared" si="11"/>
        <v>9679.92</v>
      </c>
      <c r="AG51" s="3">
        <f t="shared" si="12"/>
        <v>10117.210000000001</v>
      </c>
      <c r="AH51">
        <f t="shared" si="13"/>
        <v>2</v>
      </c>
    </row>
    <row r="52" spans="1:34" x14ac:dyDescent="0.3">
      <c r="A52">
        <v>51</v>
      </c>
      <c r="B52" t="s">
        <v>278</v>
      </c>
      <c r="C52" s="2">
        <v>45841</v>
      </c>
      <c r="D52" s="2">
        <v>45844</v>
      </c>
      <c r="E52" t="s">
        <v>26</v>
      </c>
      <c r="F52" t="s">
        <v>279</v>
      </c>
      <c r="G52" t="s">
        <v>280</v>
      </c>
      <c r="H52" t="s">
        <v>44</v>
      </c>
      <c r="I52" t="s">
        <v>81</v>
      </c>
      <c r="J52" t="s">
        <v>81</v>
      </c>
      <c r="K52" t="s">
        <v>32</v>
      </c>
      <c r="L52">
        <v>474461</v>
      </c>
      <c r="M52" t="s">
        <v>33</v>
      </c>
      <c r="N52" t="s">
        <v>34</v>
      </c>
      <c r="O52" t="s">
        <v>281</v>
      </c>
      <c r="P52" t="s">
        <v>36</v>
      </c>
      <c r="Q52" t="s">
        <v>50</v>
      </c>
      <c r="R52" s="3">
        <v>667.35</v>
      </c>
      <c r="S52">
        <v>9</v>
      </c>
      <c r="T52">
        <v>20</v>
      </c>
      <c r="U52" s="3">
        <v>-3.56</v>
      </c>
      <c r="V52" s="3">
        <v>407.54</v>
      </c>
      <c r="W52" t="s">
        <v>94</v>
      </c>
      <c r="X52">
        <v>2025</v>
      </c>
      <c r="Y52" t="s">
        <v>70</v>
      </c>
      <c r="Z52" t="str">
        <f t="shared" si="5"/>
        <v>Feb</v>
      </c>
      <c r="AA52" t="str">
        <f t="shared" si="6"/>
        <v>Monday</v>
      </c>
      <c r="AB52" t="str">
        <f t="shared" si="7"/>
        <v>MON</v>
      </c>
      <c r="AC52" t="str">
        <f t="shared" si="8"/>
        <v>Corporate</v>
      </c>
      <c r="AD52">
        <f t="shared" si="9"/>
        <v>6006.1500000000005</v>
      </c>
      <c r="AE52">
        <f t="shared" si="10"/>
        <v>1201.2300000000002</v>
      </c>
      <c r="AF52">
        <f t="shared" si="11"/>
        <v>4804.92</v>
      </c>
      <c r="AG52" s="3">
        <f t="shared" si="12"/>
        <v>5212.46</v>
      </c>
      <c r="AH52">
        <f t="shared" si="13"/>
        <v>3</v>
      </c>
    </row>
    <row r="53" spans="1:34" x14ac:dyDescent="0.3">
      <c r="A53">
        <v>52</v>
      </c>
      <c r="B53" t="s">
        <v>282</v>
      </c>
      <c r="C53" s="2">
        <v>45845</v>
      </c>
      <c r="D53" s="2">
        <v>45851</v>
      </c>
      <c r="E53" t="s">
        <v>26</v>
      </c>
      <c r="F53" t="s">
        <v>283</v>
      </c>
      <c r="G53" t="s">
        <v>225</v>
      </c>
      <c r="H53" t="s">
        <v>29</v>
      </c>
      <c r="I53" t="s">
        <v>139</v>
      </c>
      <c r="J53" t="s">
        <v>105</v>
      </c>
      <c r="K53" t="s">
        <v>32</v>
      </c>
      <c r="L53">
        <v>764779</v>
      </c>
      <c r="M53" t="s">
        <v>33</v>
      </c>
      <c r="N53" t="s">
        <v>91</v>
      </c>
      <c r="O53" t="s">
        <v>284</v>
      </c>
      <c r="P53" t="s">
        <v>206</v>
      </c>
      <c r="Q53" t="s">
        <v>114</v>
      </c>
      <c r="R53" s="3">
        <v>1427.37</v>
      </c>
      <c r="S53">
        <v>10</v>
      </c>
      <c r="T53">
        <v>20</v>
      </c>
      <c r="U53" s="3">
        <v>6.76</v>
      </c>
      <c r="V53" s="3">
        <v>551.27</v>
      </c>
      <c r="W53" t="s">
        <v>85</v>
      </c>
      <c r="X53">
        <v>2025</v>
      </c>
      <c r="Y53" t="s">
        <v>76</v>
      </c>
      <c r="Z53" t="str">
        <f t="shared" si="5"/>
        <v>Feb</v>
      </c>
      <c r="AA53" t="str">
        <f t="shared" si="6"/>
        <v>Tuesday</v>
      </c>
      <c r="AB53" t="str">
        <f t="shared" si="7"/>
        <v>PH</v>
      </c>
      <c r="AC53" t="str">
        <f t="shared" si="8"/>
        <v>Consumer</v>
      </c>
      <c r="AD53">
        <f t="shared" si="9"/>
        <v>14273.699999999999</v>
      </c>
      <c r="AE53">
        <f t="shared" si="10"/>
        <v>2854.74</v>
      </c>
      <c r="AF53">
        <f t="shared" si="11"/>
        <v>11418.96</v>
      </c>
      <c r="AG53" s="3">
        <f t="shared" si="12"/>
        <v>11970.23</v>
      </c>
      <c r="AH53">
        <f t="shared" si="13"/>
        <v>6</v>
      </c>
    </row>
    <row r="54" spans="1:34" x14ac:dyDescent="0.3">
      <c r="A54">
        <v>53</v>
      </c>
      <c r="B54" t="s">
        <v>285</v>
      </c>
      <c r="C54" s="2">
        <v>45849</v>
      </c>
      <c r="D54" s="2">
        <v>45851</v>
      </c>
      <c r="E54" t="s">
        <v>26</v>
      </c>
      <c r="F54" t="s">
        <v>286</v>
      </c>
      <c r="G54" t="s">
        <v>287</v>
      </c>
      <c r="H54" t="s">
        <v>80</v>
      </c>
      <c r="I54" t="s">
        <v>139</v>
      </c>
      <c r="J54" t="s">
        <v>90</v>
      </c>
      <c r="K54" t="s">
        <v>32</v>
      </c>
      <c r="L54">
        <v>489931</v>
      </c>
      <c r="M54" t="s">
        <v>33</v>
      </c>
      <c r="N54" t="s">
        <v>66</v>
      </c>
      <c r="O54" t="s">
        <v>288</v>
      </c>
      <c r="P54" t="s">
        <v>135</v>
      </c>
      <c r="Q54" t="s">
        <v>68</v>
      </c>
      <c r="R54" s="3">
        <v>1113.45</v>
      </c>
      <c r="S54">
        <v>10</v>
      </c>
      <c r="T54">
        <v>10</v>
      </c>
      <c r="U54" s="3">
        <v>27.18</v>
      </c>
      <c r="V54" s="3">
        <v>526.80999999999995</v>
      </c>
      <c r="W54" t="s">
        <v>94</v>
      </c>
      <c r="X54">
        <v>2025</v>
      </c>
      <c r="Y54" t="s">
        <v>76</v>
      </c>
      <c r="Z54" t="str">
        <f t="shared" si="5"/>
        <v>Feb</v>
      </c>
      <c r="AA54" t="str">
        <f t="shared" si="6"/>
        <v>Wednesday</v>
      </c>
      <c r="AB54" t="str">
        <f t="shared" si="7"/>
        <v>ART</v>
      </c>
      <c r="AC54" t="str">
        <f t="shared" si="8"/>
        <v>Home Office</v>
      </c>
      <c r="AD54">
        <f t="shared" si="9"/>
        <v>11134.5</v>
      </c>
      <c r="AE54">
        <f t="shared" si="10"/>
        <v>1113.45</v>
      </c>
      <c r="AF54">
        <f t="shared" si="11"/>
        <v>10021.049999999999</v>
      </c>
      <c r="AG54" s="3">
        <f t="shared" si="12"/>
        <v>10547.859999999999</v>
      </c>
      <c r="AH54">
        <f t="shared" si="13"/>
        <v>2</v>
      </c>
    </row>
    <row r="55" spans="1:34" x14ac:dyDescent="0.3">
      <c r="A55">
        <v>54</v>
      </c>
      <c r="B55" t="s">
        <v>289</v>
      </c>
      <c r="C55" s="2">
        <v>45852</v>
      </c>
      <c r="D55" s="2">
        <v>45858</v>
      </c>
      <c r="E55" t="s">
        <v>26</v>
      </c>
      <c r="F55" t="s">
        <v>290</v>
      </c>
      <c r="G55" t="s">
        <v>291</v>
      </c>
      <c r="H55" t="s">
        <v>44</v>
      </c>
      <c r="I55" t="s">
        <v>81</v>
      </c>
      <c r="J55" t="s">
        <v>31</v>
      </c>
      <c r="K55" t="s">
        <v>32</v>
      </c>
      <c r="L55">
        <v>406802</v>
      </c>
      <c r="M55" t="s">
        <v>33</v>
      </c>
      <c r="N55" t="s">
        <v>91</v>
      </c>
      <c r="O55" t="s">
        <v>292</v>
      </c>
      <c r="P55" t="s">
        <v>49</v>
      </c>
      <c r="Q55" t="s">
        <v>114</v>
      </c>
      <c r="R55" s="3">
        <v>1600.48</v>
      </c>
      <c r="S55">
        <v>7</v>
      </c>
      <c r="T55">
        <v>15</v>
      </c>
      <c r="U55" s="3">
        <v>-1.96</v>
      </c>
      <c r="V55" s="3">
        <v>231.88</v>
      </c>
      <c r="W55" t="s">
        <v>85</v>
      </c>
      <c r="X55">
        <v>2025</v>
      </c>
      <c r="Y55" t="s">
        <v>167</v>
      </c>
      <c r="Z55" t="str">
        <f t="shared" si="5"/>
        <v>Feb</v>
      </c>
      <c r="AA55" t="str">
        <f t="shared" si="6"/>
        <v>Thursday</v>
      </c>
      <c r="AB55" t="str">
        <f t="shared" si="7"/>
        <v>CH</v>
      </c>
      <c r="AC55" t="str">
        <f t="shared" si="8"/>
        <v>Corporate</v>
      </c>
      <c r="AD55">
        <f t="shared" si="9"/>
        <v>11203.36</v>
      </c>
      <c r="AE55">
        <f t="shared" si="10"/>
        <v>1680.5040000000001</v>
      </c>
      <c r="AF55">
        <f t="shared" si="11"/>
        <v>9522.8559999999998</v>
      </c>
      <c r="AG55" s="3">
        <f t="shared" si="12"/>
        <v>9754.735999999999</v>
      </c>
      <c r="AH55">
        <f t="shared" si="13"/>
        <v>6</v>
      </c>
    </row>
    <row r="56" spans="1:34" x14ac:dyDescent="0.3">
      <c r="A56">
        <v>55</v>
      </c>
      <c r="B56" t="s">
        <v>293</v>
      </c>
      <c r="C56" s="2">
        <v>45856</v>
      </c>
      <c r="D56" s="2">
        <v>45858</v>
      </c>
      <c r="E56" t="s">
        <v>53</v>
      </c>
      <c r="F56" t="s">
        <v>294</v>
      </c>
      <c r="G56" t="s">
        <v>295</v>
      </c>
      <c r="H56" t="s">
        <v>80</v>
      </c>
      <c r="I56" t="s">
        <v>30</v>
      </c>
      <c r="J56" t="s">
        <v>105</v>
      </c>
      <c r="K56" t="s">
        <v>32</v>
      </c>
      <c r="L56">
        <v>503151</v>
      </c>
      <c r="M56" t="s">
        <v>33</v>
      </c>
      <c r="N56" t="s">
        <v>74</v>
      </c>
      <c r="O56" t="s">
        <v>296</v>
      </c>
      <c r="P56" t="s">
        <v>191</v>
      </c>
      <c r="Q56" t="s">
        <v>146</v>
      </c>
      <c r="R56" s="3">
        <v>13162.57</v>
      </c>
      <c r="S56">
        <v>1</v>
      </c>
      <c r="T56">
        <v>25</v>
      </c>
      <c r="U56" s="3">
        <v>30.9</v>
      </c>
      <c r="V56" s="3">
        <v>320.47000000000003</v>
      </c>
      <c r="W56" t="s">
        <v>94</v>
      </c>
      <c r="X56">
        <v>2025</v>
      </c>
      <c r="Y56" t="s">
        <v>167</v>
      </c>
      <c r="Z56" t="str">
        <f t="shared" si="5"/>
        <v>Feb</v>
      </c>
      <c r="AA56" t="str">
        <f t="shared" si="6"/>
        <v>Friday</v>
      </c>
      <c r="AB56" t="str">
        <f t="shared" si="7"/>
        <v>BIN</v>
      </c>
      <c r="AC56" t="str">
        <f t="shared" si="8"/>
        <v>Home Office</v>
      </c>
      <c r="AD56">
        <f t="shared" si="9"/>
        <v>13162.57</v>
      </c>
      <c r="AE56">
        <f t="shared" si="10"/>
        <v>3290.6424999999999</v>
      </c>
      <c r="AF56">
        <f t="shared" si="11"/>
        <v>9871.9274999999998</v>
      </c>
      <c r="AG56" s="3">
        <f t="shared" si="12"/>
        <v>10192.397499999999</v>
      </c>
      <c r="AH56">
        <f t="shared" si="13"/>
        <v>2</v>
      </c>
    </row>
    <row r="57" spans="1:34" x14ac:dyDescent="0.3">
      <c r="A57">
        <v>56</v>
      </c>
      <c r="B57" t="s">
        <v>297</v>
      </c>
      <c r="C57" s="2">
        <v>45860</v>
      </c>
      <c r="D57" s="2">
        <v>45863</v>
      </c>
      <c r="E57" t="s">
        <v>41</v>
      </c>
      <c r="F57" t="s">
        <v>298</v>
      </c>
      <c r="G57" t="s">
        <v>299</v>
      </c>
      <c r="H57" t="s">
        <v>44</v>
      </c>
      <c r="I57" t="s">
        <v>45</v>
      </c>
      <c r="J57" t="s">
        <v>82</v>
      </c>
      <c r="K57" t="s">
        <v>32</v>
      </c>
      <c r="L57">
        <v>603340</v>
      </c>
      <c r="M57" t="s">
        <v>33</v>
      </c>
      <c r="N57" t="s">
        <v>91</v>
      </c>
      <c r="O57" t="s">
        <v>300</v>
      </c>
      <c r="P57" t="s">
        <v>135</v>
      </c>
      <c r="Q57" t="s">
        <v>59</v>
      </c>
      <c r="R57" s="3">
        <v>45231.21</v>
      </c>
      <c r="S57">
        <v>7</v>
      </c>
      <c r="T57">
        <v>25</v>
      </c>
      <c r="U57" s="3">
        <v>31.61</v>
      </c>
      <c r="V57" s="3">
        <v>13788.61</v>
      </c>
      <c r="W57" t="s">
        <v>38</v>
      </c>
      <c r="X57">
        <v>2025</v>
      </c>
      <c r="Y57" t="s">
        <v>86</v>
      </c>
      <c r="Z57" t="str">
        <f t="shared" si="5"/>
        <v>Feb</v>
      </c>
      <c r="AA57" t="str">
        <f t="shared" si="6"/>
        <v>Saturday</v>
      </c>
      <c r="AB57" t="str">
        <f t="shared" si="7"/>
        <v>ART</v>
      </c>
      <c r="AC57" t="str">
        <f t="shared" si="8"/>
        <v>Corporate</v>
      </c>
      <c r="AD57">
        <f t="shared" si="9"/>
        <v>316618.46999999997</v>
      </c>
      <c r="AE57">
        <f t="shared" si="10"/>
        <v>79154.617499999993</v>
      </c>
      <c r="AF57">
        <f t="shared" si="11"/>
        <v>237463.85249999998</v>
      </c>
      <c r="AG57" s="3">
        <f t="shared" si="12"/>
        <v>251252.46249999997</v>
      </c>
      <c r="AH57">
        <f t="shared" si="13"/>
        <v>3</v>
      </c>
    </row>
    <row r="58" spans="1:34" x14ac:dyDescent="0.3">
      <c r="A58">
        <v>57</v>
      </c>
      <c r="B58" t="s">
        <v>301</v>
      </c>
      <c r="C58" s="2">
        <v>45863</v>
      </c>
      <c r="D58" s="2">
        <v>45865</v>
      </c>
      <c r="E58" t="s">
        <v>41</v>
      </c>
      <c r="F58" t="s">
        <v>302</v>
      </c>
      <c r="G58" t="s">
        <v>303</v>
      </c>
      <c r="H58" t="s">
        <v>29</v>
      </c>
      <c r="I58" t="s">
        <v>98</v>
      </c>
      <c r="J58" t="s">
        <v>82</v>
      </c>
      <c r="K58" t="s">
        <v>32</v>
      </c>
      <c r="L58">
        <v>579209</v>
      </c>
      <c r="M58" t="s">
        <v>33</v>
      </c>
      <c r="N58" t="s">
        <v>47</v>
      </c>
      <c r="O58" t="s">
        <v>304</v>
      </c>
      <c r="P58" t="s">
        <v>145</v>
      </c>
      <c r="Q58" t="s">
        <v>146</v>
      </c>
      <c r="R58" s="3">
        <v>11212.03</v>
      </c>
      <c r="S58">
        <v>10</v>
      </c>
      <c r="T58">
        <v>10</v>
      </c>
      <c r="U58" s="3">
        <v>15.37</v>
      </c>
      <c r="V58" s="3">
        <v>5471.06</v>
      </c>
      <c r="W58" t="s">
        <v>94</v>
      </c>
      <c r="X58">
        <v>2025</v>
      </c>
      <c r="Y58" t="s">
        <v>100</v>
      </c>
      <c r="Z58" t="str">
        <f t="shared" si="5"/>
        <v>Feb</v>
      </c>
      <c r="AA58" t="str">
        <f t="shared" si="6"/>
        <v>Sunday</v>
      </c>
      <c r="AB58" t="str">
        <f t="shared" si="7"/>
        <v>CAB</v>
      </c>
      <c r="AC58" t="str">
        <f t="shared" si="8"/>
        <v>Consumer</v>
      </c>
      <c r="AD58">
        <f t="shared" si="9"/>
        <v>112120.3</v>
      </c>
      <c r="AE58">
        <f t="shared" si="10"/>
        <v>11212.03</v>
      </c>
      <c r="AF58">
        <f t="shared" si="11"/>
        <v>100908.27</v>
      </c>
      <c r="AG58" s="3">
        <f t="shared" si="12"/>
        <v>106379.33</v>
      </c>
      <c r="AH58">
        <f t="shared" si="13"/>
        <v>2</v>
      </c>
    </row>
    <row r="59" spans="1:34" x14ac:dyDescent="0.3">
      <c r="A59">
        <v>58</v>
      </c>
      <c r="B59" t="s">
        <v>305</v>
      </c>
      <c r="C59" s="2">
        <v>45867</v>
      </c>
      <c r="D59" s="2">
        <v>45869</v>
      </c>
      <c r="E59" t="s">
        <v>41</v>
      </c>
      <c r="F59" t="s">
        <v>306</v>
      </c>
      <c r="G59" t="s">
        <v>287</v>
      </c>
      <c r="H59" t="s">
        <v>80</v>
      </c>
      <c r="I59" t="s">
        <v>98</v>
      </c>
      <c r="J59" t="s">
        <v>31</v>
      </c>
      <c r="K59" t="s">
        <v>32</v>
      </c>
      <c r="L59">
        <v>554698</v>
      </c>
      <c r="M59" t="s">
        <v>33</v>
      </c>
      <c r="N59" t="s">
        <v>66</v>
      </c>
      <c r="O59" t="s">
        <v>307</v>
      </c>
      <c r="P59" t="s">
        <v>206</v>
      </c>
      <c r="Q59" t="s">
        <v>146</v>
      </c>
      <c r="R59" s="3">
        <v>11453.54</v>
      </c>
      <c r="S59">
        <v>5</v>
      </c>
      <c r="T59">
        <v>25</v>
      </c>
      <c r="U59" s="3">
        <v>-9.68</v>
      </c>
      <c r="V59" s="3">
        <v>3207.06</v>
      </c>
      <c r="W59" t="s">
        <v>38</v>
      </c>
      <c r="X59">
        <v>2025</v>
      </c>
      <c r="Y59" t="s">
        <v>100</v>
      </c>
      <c r="Z59" t="str">
        <f t="shared" si="5"/>
        <v>Feb</v>
      </c>
      <c r="AA59" t="str">
        <f t="shared" si="6"/>
        <v>Monday</v>
      </c>
      <c r="AB59" t="str">
        <f t="shared" si="7"/>
        <v>PH</v>
      </c>
      <c r="AC59" t="str">
        <f t="shared" si="8"/>
        <v>Home Office</v>
      </c>
      <c r="AD59">
        <f t="shared" si="9"/>
        <v>57267.700000000004</v>
      </c>
      <c r="AE59">
        <f t="shared" si="10"/>
        <v>14316.925000000001</v>
      </c>
      <c r="AF59">
        <f t="shared" si="11"/>
        <v>42950.775000000001</v>
      </c>
      <c r="AG59" s="3">
        <f t="shared" si="12"/>
        <v>46157.834999999999</v>
      </c>
      <c r="AH59">
        <f t="shared" si="13"/>
        <v>2</v>
      </c>
    </row>
    <row r="60" spans="1:34" x14ac:dyDescent="0.3">
      <c r="A60">
        <v>59</v>
      </c>
      <c r="B60" t="s">
        <v>308</v>
      </c>
      <c r="C60" s="2">
        <v>45871</v>
      </c>
      <c r="D60" s="2">
        <v>45873</v>
      </c>
      <c r="E60" t="s">
        <v>41</v>
      </c>
      <c r="F60" t="s">
        <v>309</v>
      </c>
      <c r="G60" t="s">
        <v>310</v>
      </c>
      <c r="H60" t="s">
        <v>80</v>
      </c>
      <c r="I60" t="s">
        <v>81</v>
      </c>
      <c r="J60" t="s">
        <v>82</v>
      </c>
      <c r="K60" t="s">
        <v>32</v>
      </c>
      <c r="L60">
        <v>613946</v>
      </c>
      <c r="M60" t="s">
        <v>33</v>
      </c>
      <c r="N60" t="s">
        <v>91</v>
      </c>
      <c r="O60" t="s">
        <v>311</v>
      </c>
      <c r="P60" t="s">
        <v>135</v>
      </c>
      <c r="Q60" t="s">
        <v>114</v>
      </c>
      <c r="R60" s="3">
        <v>1355.52</v>
      </c>
      <c r="S60">
        <v>6</v>
      </c>
      <c r="T60">
        <v>20</v>
      </c>
      <c r="U60" s="3">
        <v>4.3499999999999996</v>
      </c>
      <c r="V60" s="3">
        <v>304.99</v>
      </c>
      <c r="W60" t="s">
        <v>38</v>
      </c>
      <c r="X60">
        <v>2025</v>
      </c>
      <c r="Y60" t="s">
        <v>60</v>
      </c>
      <c r="Z60" t="str">
        <f t="shared" si="5"/>
        <v>Feb</v>
      </c>
      <c r="AA60" t="str">
        <f t="shared" si="6"/>
        <v>Tuesday</v>
      </c>
      <c r="AB60" t="str">
        <f t="shared" si="7"/>
        <v>ART</v>
      </c>
      <c r="AC60" t="str">
        <f t="shared" si="8"/>
        <v>Home Office</v>
      </c>
      <c r="AD60">
        <f t="shared" si="9"/>
        <v>8133.12</v>
      </c>
      <c r="AE60">
        <f t="shared" si="10"/>
        <v>1626.624</v>
      </c>
      <c r="AF60">
        <f t="shared" si="11"/>
        <v>6506.4960000000001</v>
      </c>
      <c r="AG60" s="3">
        <f t="shared" si="12"/>
        <v>6811.4859999999999</v>
      </c>
      <c r="AH60">
        <f t="shared" si="13"/>
        <v>2</v>
      </c>
    </row>
    <row r="61" spans="1:34" x14ac:dyDescent="0.3">
      <c r="A61">
        <v>60</v>
      </c>
      <c r="B61" t="s">
        <v>312</v>
      </c>
      <c r="C61" s="2">
        <v>45874</v>
      </c>
      <c r="D61" s="2">
        <v>45875</v>
      </c>
      <c r="E61" t="s">
        <v>62</v>
      </c>
      <c r="F61" t="s">
        <v>313</v>
      </c>
      <c r="G61" t="s">
        <v>314</v>
      </c>
      <c r="H61" t="s">
        <v>44</v>
      </c>
      <c r="I61" t="s">
        <v>104</v>
      </c>
      <c r="J61" t="s">
        <v>46</v>
      </c>
      <c r="K61" t="s">
        <v>32</v>
      </c>
      <c r="L61">
        <v>631916</v>
      </c>
      <c r="M61" t="s">
        <v>33</v>
      </c>
      <c r="N61" t="s">
        <v>74</v>
      </c>
      <c r="O61" t="s">
        <v>315</v>
      </c>
      <c r="P61" t="s">
        <v>49</v>
      </c>
      <c r="Q61" t="s">
        <v>68</v>
      </c>
      <c r="R61" s="3">
        <v>1299.43</v>
      </c>
      <c r="S61">
        <v>10</v>
      </c>
      <c r="T61">
        <v>5</v>
      </c>
      <c r="U61" s="3">
        <v>20.85</v>
      </c>
      <c r="V61" s="3">
        <v>801.73</v>
      </c>
      <c r="W61" t="s">
        <v>94</v>
      </c>
      <c r="X61">
        <v>2025</v>
      </c>
      <c r="Y61" t="s">
        <v>100</v>
      </c>
      <c r="Z61" t="str">
        <f t="shared" si="5"/>
        <v>Feb</v>
      </c>
      <c r="AA61" t="str">
        <f t="shared" si="6"/>
        <v>Wednesday</v>
      </c>
      <c r="AB61" t="str">
        <f t="shared" si="7"/>
        <v>CH</v>
      </c>
      <c r="AC61" t="str">
        <f t="shared" si="8"/>
        <v>Corporate</v>
      </c>
      <c r="AD61">
        <f t="shared" si="9"/>
        <v>12994.300000000001</v>
      </c>
      <c r="AE61">
        <f t="shared" si="10"/>
        <v>649.71500000000015</v>
      </c>
      <c r="AF61">
        <f t="shared" si="11"/>
        <v>12344.585000000001</v>
      </c>
      <c r="AG61" s="3">
        <f t="shared" si="12"/>
        <v>13146.315000000001</v>
      </c>
      <c r="AH61">
        <f t="shared" si="13"/>
        <v>1</v>
      </c>
    </row>
    <row r="62" spans="1:34" x14ac:dyDescent="0.3">
      <c r="A62">
        <v>61</v>
      </c>
      <c r="B62" t="s">
        <v>316</v>
      </c>
      <c r="C62" s="2">
        <v>45878</v>
      </c>
      <c r="D62" s="2">
        <v>45879</v>
      </c>
      <c r="E62" t="s">
        <v>41</v>
      </c>
      <c r="F62" t="s">
        <v>317</v>
      </c>
      <c r="G62" t="s">
        <v>318</v>
      </c>
      <c r="H62" t="s">
        <v>80</v>
      </c>
      <c r="I62" t="s">
        <v>45</v>
      </c>
      <c r="J62" t="s">
        <v>56</v>
      </c>
      <c r="K62" t="s">
        <v>32</v>
      </c>
      <c r="L62">
        <v>603665</v>
      </c>
      <c r="M62" t="s">
        <v>33</v>
      </c>
      <c r="N62" t="s">
        <v>74</v>
      </c>
      <c r="O62" t="s">
        <v>319</v>
      </c>
      <c r="P62" t="s">
        <v>58</v>
      </c>
      <c r="Q62" t="s">
        <v>68</v>
      </c>
      <c r="R62" s="3">
        <v>1108.26</v>
      </c>
      <c r="S62">
        <v>7</v>
      </c>
      <c r="T62">
        <v>0</v>
      </c>
      <c r="U62" s="3">
        <v>39.06</v>
      </c>
      <c r="V62" s="3">
        <v>555.52</v>
      </c>
      <c r="W62" t="s">
        <v>38</v>
      </c>
      <c r="X62">
        <v>2025</v>
      </c>
      <c r="Y62" t="s">
        <v>39</v>
      </c>
      <c r="Z62" t="str">
        <f t="shared" si="5"/>
        <v>Mar</v>
      </c>
      <c r="AA62" t="str">
        <f t="shared" si="6"/>
        <v>Thursday</v>
      </c>
      <c r="AB62" t="str">
        <f t="shared" si="7"/>
        <v>MSW</v>
      </c>
      <c r="AC62" t="str">
        <f t="shared" si="8"/>
        <v>Home Office</v>
      </c>
      <c r="AD62">
        <f t="shared" si="9"/>
        <v>7757.82</v>
      </c>
      <c r="AE62">
        <f t="shared" si="10"/>
        <v>0</v>
      </c>
      <c r="AF62">
        <f t="shared" si="11"/>
        <v>7757.82</v>
      </c>
      <c r="AG62" s="3">
        <f t="shared" si="12"/>
        <v>8313.34</v>
      </c>
      <c r="AH62">
        <f t="shared" si="13"/>
        <v>1</v>
      </c>
    </row>
    <row r="63" spans="1:34" x14ac:dyDescent="0.3">
      <c r="A63">
        <v>62</v>
      </c>
      <c r="B63" t="s">
        <v>320</v>
      </c>
      <c r="C63" s="2">
        <v>45882</v>
      </c>
      <c r="D63" s="2">
        <v>45883</v>
      </c>
      <c r="E63" t="s">
        <v>62</v>
      </c>
      <c r="F63" t="s">
        <v>321</v>
      </c>
      <c r="G63" t="s">
        <v>314</v>
      </c>
      <c r="H63" t="s">
        <v>44</v>
      </c>
      <c r="I63" t="s">
        <v>98</v>
      </c>
      <c r="J63" t="s">
        <v>81</v>
      </c>
      <c r="K63" t="s">
        <v>32</v>
      </c>
      <c r="L63">
        <v>608125</v>
      </c>
      <c r="M63" t="s">
        <v>33</v>
      </c>
      <c r="N63" t="s">
        <v>91</v>
      </c>
      <c r="O63" t="s">
        <v>322</v>
      </c>
      <c r="P63" t="s">
        <v>206</v>
      </c>
      <c r="Q63" t="s">
        <v>50</v>
      </c>
      <c r="R63" s="3">
        <v>659.95</v>
      </c>
      <c r="S63">
        <v>5</v>
      </c>
      <c r="T63">
        <v>15</v>
      </c>
      <c r="U63" s="3">
        <v>21.59</v>
      </c>
      <c r="V63" s="3">
        <v>220.39</v>
      </c>
      <c r="W63" t="s">
        <v>85</v>
      </c>
      <c r="X63">
        <v>2025</v>
      </c>
      <c r="Y63" t="s">
        <v>60</v>
      </c>
      <c r="Z63" t="str">
        <f t="shared" si="5"/>
        <v>Mar</v>
      </c>
      <c r="AA63" t="str">
        <f t="shared" si="6"/>
        <v>Friday</v>
      </c>
      <c r="AB63" t="str">
        <f t="shared" si="7"/>
        <v>PH</v>
      </c>
      <c r="AC63" t="str">
        <f t="shared" si="8"/>
        <v>Corporate</v>
      </c>
      <c r="AD63">
        <f t="shared" si="9"/>
        <v>3299.75</v>
      </c>
      <c r="AE63">
        <f t="shared" si="10"/>
        <v>494.96249999999998</v>
      </c>
      <c r="AF63">
        <f t="shared" si="11"/>
        <v>2804.7874999999999</v>
      </c>
      <c r="AG63" s="3">
        <f t="shared" si="12"/>
        <v>3025.1774999999998</v>
      </c>
      <c r="AH63">
        <f t="shared" si="13"/>
        <v>1</v>
      </c>
    </row>
    <row r="64" spans="1:34" x14ac:dyDescent="0.3">
      <c r="A64">
        <v>63</v>
      </c>
      <c r="B64" t="s">
        <v>323</v>
      </c>
      <c r="C64" s="2">
        <v>45885</v>
      </c>
      <c r="D64" s="2">
        <v>45888</v>
      </c>
      <c r="E64" t="s">
        <v>62</v>
      </c>
      <c r="F64" t="s">
        <v>324</v>
      </c>
      <c r="G64" t="s">
        <v>325</v>
      </c>
      <c r="H64" t="s">
        <v>44</v>
      </c>
      <c r="I64" t="s">
        <v>81</v>
      </c>
      <c r="J64" t="s">
        <v>56</v>
      </c>
      <c r="K64" t="s">
        <v>32</v>
      </c>
      <c r="L64">
        <v>401543</v>
      </c>
      <c r="M64" t="s">
        <v>33</v>
      </c>
      <c r="N64" t="s">
        <v>74</v>
      </c>
      <c r="O64" t="s">
        <v>326</v>
      </c>
      <c r="P64" t="s">
        <v>135</v>
      </c>
      <c r="Q64" t="s">
        <v>37</v>
      </c>
      <c r="R64" s="3">
        <v>7161.08</v>
      </c>
      <c r="S64">
        <v>7</v>
      </c>
      <c r="T64">
        <v>15</v>
      </c>
      <c r="U64" s="3">
        <v>2.99</v>
      </c>
      <c r="V64" s="3">
        <v>1121.71</v>
      </c>
      <c r="W64" t="s">
        <v>69</v>
      </c>
      <c r="X64">
        <v>2025</v>
      </c>
      <c r="Y64" t="s">
        <v>86</v>
      </c>
      <c r="Z64" t="str">
        <f t="shared" si="5"/>
        <v>Mar</v>
      </c>
      <c r="AA64" t="str">
        <f t="shared" si="6"/>
        <v>Saturday</v>
      </c>
      <c r="AB64" t="str">
        <f t="shared" si="7"/>
        <v>ART</v>
      </c>
      <c r="AC64" t="str">
        <f t="shared" si="8"/>
        <v>Corporate</v>
      </c>
      <c r="AD64">
        <f t="shared" si="9"/>
        <v>50127.56</v>
      </c>
      <c r="AE64">
        <f t="shared" si="10"/>
        <v>7519.1339999999991</v>
      </c>
      <c r="AF64">
        <f t="shared" si="11"/>
        <v>42608.425999999999</v>
      </c>
      <c r="AG64" s="3">
        <f t="shared" si="12"/>
        <v>43730.135999999999</v>
      </c>
      <c r="AH64">
        <f t="shared" si="13"/>
        <v>3</v>
      </c>
    </row>
    <row r="65" spans="1:34" x14ac:dyDescent="0.3">
      <c r="A65">
        <v>64</v>
      </c>
      <c r="B65" t="s">
        <v>327</v>
      </c>
      <c r="C65" s="2">
        <v>45889</v>
      </c>
      <c r="D65" s="2">
        <v>45895</v>
      </c>
      <c r="E65" t="s">
        <v>26</v>
      </c>
      <c r="F65" t="s">
        <v>328</v>
      </c>
      <c r="G65" t="s">
        <v>329</v>
      </c>
      <c r="H65" t="s">
        <v>44</v>
      </c>
      <c r="I65" t="s">
        <v>139</v>
      </c>
      <c r="J65" t="s">
        <v>105</v>
      </c>
      <c r="K65" t="s">
        <v>32</v>
      </c>
      <c r="L65">
        <v>683822</v>
      </c>
      <c r="M65" t="s">
        <v>33</v>
      </c>
      <c r="N65" t="s">
        <v>34</v>
      </c>
      <c r="O65" t="s">
        <v>330</v>
      </c>
      <c r="P65" t="s">
        <v>191</v>
      </c>
      <c r="Q65" t="s">
        <v>59</v>
      </c>
      <c r="R65" s="3">
        <v>45487.6</v>
      </c>
      <c r="S65">
        <v>9</v>
      </c>
      <c r="T65">
        <v>10</v>
      </c>
      <c r="U65" s="3">
        <v>21.7</v>
      </c>
      <c r="V65" s="3">
        <v>19990.61</v>
      </c>
      <c r="W65" t="s">
        <v>94</v>
      </c>
      <c r="X65">
        <v>2025</v>
      </c>
      <c r="Y65" t="s">
        <v>167</v>
      </c>
      <c r="Z65" t="str">
        <f t="shared" si="5"/>
        <v>Mar</v>
      </c>
      <c r="AA65" t="str">
        <f t="shared" si="6"/>
        <v>Sunday</v>
      </c>
      <c r="AB65" t="str">
        <f t="shared" si="7"/>
        <v>BIN</v>
      </c>
      <c r="AC65" t="str">
        <f t="shared" si="8"/>
        <v>Corporate</v>
      </c>
      <c r="AD65">
        <f t="shared" si="9"/>
        <v>409388.39999999997</v>
      </c>
      <c r="AE65">
        <f t="shared" si="10"/>
        <v>40938.839999999997</v>
      </c>
      <c r="AF65">
        <f t="shared" si="11"/>
        <v>368449.55999999994</v>
      </c>
      <c r="AG65" s="3">
        <f t="shared" si="12"/>
        <v>388440.16999999993</v>
      </c>
      <c r="AH65">
        <f t="shared" si="13"/>
        <v>6</v>
      </c>
    </row>
    <row r="66" spans="1:34" x14ac:dyDescent="0.3">
      <c r="A66">
        <v>65</v>
      </c>
      <c r="B66" t="s">
        <v>331</v>
      </c>
      <c r="C66" s="2">
        <v>45893</v>
      </c>
      <c r="D66" s="2">
        <v>45898</v>
      </c>
      <c r="E66" t="s">
        <v>62</v>
      </c>
      <c r="F66" t="s">
        <v>332</v>
      </c>
      <c r="G66" t="s">
        <v>157</v>
      </c>
      <c r="H66" t="s">
        <v>44</v>
      </c>
      <c r="I66" t="s">
        <v>98</v>
      </c>
      <c r="J66" t="s">
        <v>81</v>
      </c>
      <c r="K66" t="s">
        <v>32</v>
      </c>
      <c r="L66">
        <v>577805</v>
      </c>
      <c r="M66" t="s">
        <v>33</v>
      </c>
      <c r="N66" t="s">
        <v>34</v>
      </c>
      <c r="O66" t="s">
        <v>333</v>
      </c>
      <c r="P66" t="s">
        <v>191</v>
      </c>
      <c r="Q66" t="s">
        <v>114</v>
      </c>
      <c r="R66" s="3">
        <v>1545.43</v>
      </c>
      <c r="S66">
        <v>3</v>
      </c>
      <c r="T66">
        <v>15</v>
      </c>
      <c r="U66" s="3">
        <v>17</v>
      </c>
      <c r="V66" s="3">
        <v>121.92</v>
      </c>
      <c r="W66" t="s">
        <v>38</v>
      </c>
      <c r="X66">
        <v>2025</v>
      </c>
      <c r="Y66" t="s">
        <v>100</v>
      </c>
      <c r="Z66" t="str">
        <f t="shared" si="5"/>
        <v>Mar</v>
      </c>
      <c r="AA66" t="str">
        <f t="shared" si="6"/>
        <v>Monday</v>
      </c>
      <c r="AB66" t="str">
        <f t="shared" si="7"/>
        <v>BIN</v>
      </c>
      <c r="AC66" t="str">
        <f t="shared" si="8"/>
        <v>Corporate</v>
      </c>
      <c r="AD66">
        <f t="shared" ref="AD66:AD101" si="14">R66*S66</f>
        <v>4636.29</v>
      </c>
      <c r="AE66">
        <f t="shared" ref="AE66:AE97" si="15">AD66*(T66/100)</f>
        <v>695.44349999999997</v>
      </c>
      <c r="AF66">
        <f t="shared" ref="AF66:AF97" si="16">AD66-AE66</f>
        <v>3940.8465000000001</v>
      </c>
      <c r="AG66" s="3">
        <f t="shared" ref="AG66:AG97" si="17">AF66+V66</f>
        <v>4062.7665000000002</v>
      </c>
      <c r="AH66">
        <f t="shared" ref="AH66:AH101" si="18">D66-C66</f>
        <v>5</v>
      </c>
    </row>
    <row r="67" spans="1:34" x14ac:dyDescent="0.3">
      <c r="A67">
        <v>66</v>
      </c>
      <c r="B67" t="s">
        <v>334</v>
      </c>
      <c r="C67" s="2">
        <v>45896</v>
      </c>
      <c r="D67" s="2">
        <v>45898</v>
      </c>
      <c r="E67" t="s">
        <v>53</v>
      </c>
      <c r="F67" t="s">
        <v>335</v>
      </c>
      <c r="G67" t="s">
        <v>336</v>
      </c>
      <c r="H67" t="s">
        <v>29</v>
      </c>
      <c r="I67" t="s">
        <v>111</v>
      </c>
      <c r="J67" t="s">
        <v>56</v>
      </c>
      <c r="K67" t="s">
        <v>32</v>
      </c>
      <c r="L67">
        <v>581416</v>
      </c>
      <c r="M67" t="s">
        <v>33</v>
      </c>
      <c r="N67" t="s">
        <v>34</v>
      </c>
      <c r="O67" t="s">
        <v>337</v>
      </c>
      <c r="P67" t="s">
        <v>36</v>
      </c>
      <c r="Q67" t="s">
        <v>50</v>
      </c>
      <c r="R67" s="3">
        <v>692.87</v>
      </c>
      <c r="S67">
        <v>8</v>
      </c>
      <c r="T67">
        <v>20</v>
      </c>
      <c r="U67" s="3">
        <v>28.99</v>
      </c>
      <c r="V67" s="3">
        <v>191.36</v>
      </c>
      <c r="W67" t="s">
        <v>94</v>
      </c>
      <c r="X67">
        <v>2025</v>
      </c>
      <c r="Y67" t="s">
        <v>70</v>
      </c>
      <c r="Z67" t="str">
        <f t="shared" ref="Z67:Z101" si="19">TEXT(A67,"mmm")</f>
        <v>Mar</v>
      </c>
      <c r="AA67" t="str">
        <f t="shared" ref="AA67:AA101" si="20">TEXT(A67,"dddd")</f>
        <v>Tuesday</v>
      </c>
      <c r="AB67" t="str">
        <f t="shared" ref="AB67:AB101" si="21">RIGHT(P67,LEN(P67)-FIND("::",P67)-1)</f>
        <v>MON</v>
      </c>
      <c r="AC67" t="str">
        <f t="shared" ref="AC67:AC101" si="22">PROPER(TRIM(H67))</f>
        <v>Consumer</v>
      </c>
      <c r="AD67">
        <f t="shared" si="14"/>
        <v>5542.96</v>
      </c>
      <c r="AE67">
        <f t="shared" si="15"/>
        <v>1108.5920000000001</v>
      </c>
      <c r="AF67">
        <f t="shared" si="16"/>
        <v>4434.3680000000004</v>
      </c>
      <c r="AG67" s="3">
        <f t="shared" si="17"/>
        <v>4625.7280000000001</v>
      </c>
      <c r="AH67">
        <f t="shared" si="18"/>
        <v>2</v>
      </c>
    </row>
    <row r="68" spans="1:34" x14ac:dyDescent="0.3">
      <c r="A68">
        <v>67</v>
      </c>
      <c r="B68" t="s">
        <v>338</v>
      </c>
      <c r="C68" s="2">
        <v>45900</v>
      </c>
      <c r="D68" s="2">
        <v>45902</v>
      </c>
      <c r="E68" t="s">
        <v>62</v>
      </c>
      <c r="F68" t="s">
        <v>339</v>
      </c>
      <c r="G68" t="s">
        <v>340</v>
      </c>
      <c r="H68" t="s">
        <v>44</v>
      </c>
      <c r="I68" t="s">
        <v>45</v>
      </c>
      <c r="J68" t="s">
        <v>81</v>
      </c>
      <c r="K68" t="s">
        <v>32</v>
      </c>
      <c r="L68">
        <v>439082</v>
      </c>
      <c r="M68" t="s">
        <v>33</v>
      </c>
      <c r="N68" t="s">
        <v>47</v>
      </c>
      <c r="O68" t="s">
        <v>341</v>
      </c>
      <c r="P68" t="s">
        <v>135</v>
      </c>
      <c r="Q68" t="s">
        <v>130</v>
      </c>
      <c r="R68" s="3">
        <v>17413.759999999998</v>
      </c>
      <c r="S68">
        <v>2</v>
      </c>
      <c r="T68">
        <v>25</v>
      </c>
      <c r="U68" s="3">
        <v>-4.6500000000000004</v>
      </c>
      <c r="V68" s="3">
        <v>2758.33</v>
      </c>
      <c r="W68" t="s">
        <v>85</v>
      </c>
      <c r="X68">
        <v>2025</v>
      </c>
      <c r="Y68" t="s">
        <v>167</v>
      </c>
      <c r="Z68" t="str">
        <f t="shared" si="19"/>
        <v>Mar</v>
      </c>
      <c r="AA68" t="str">
        <f t="shared" si="20"/>
        <v>Wednesday</v>
      </c>
      <c r="AB68" t="str">
        <f t="shared" si="21"/>
        <v>ART</v>
      </c>
      <c r="AC68" t="str">
        <f t="shared" si="22"/>
        <v>Corporate</v>
      </c>
      <c r="AD68">
        <f t="shared" si="14"/>
        <v>34827.519999999997</v>
      </c>
      <c r="AE68">
        <f t="shared" si="15"/>
        <v>8706.8799999999992</v>
      </c>
      <c r="AF68">
        <f t="shared" si="16"/>
        <v>26120.639999999999</v>
      </c>
      <c r="AG68" s="3">
        <f t="shared" si="17"/>
        <v>28878.97</v>
      </c>
      <c r="AH68">
        <f t="shared" si="18"/>
        <v>2</v>
      </c>
    </row>
    <row r="69" spans="1:34" x14ac:dyDescent="0.3">
      <c r="A69">
        <v>68</v>
      </c>
      <c r="B69" t="s">
        <v>342</v>
      </c>
      <c r="C69" s="2">
        <v>45904</v>
      </c>
      <c r="D69" s="2">
        <v>45907</v>
      </c>
      <c r="E69" t="s">
        <v>26</v>
      </c>
      <c r="F69" t="s">
        <v>343</v>
      </c>
      <c r="G69" t="s">
        <v>64</v>
      </c>
      <c r="H69" t="s">
        <v>80</v>
      </c>
      <c r="I69" t="s">
        <v>45</v>
      </c>
      <c r="J69" t="s">
        <v>56</v>
      </c>
      <c r="K69" t="s">
        <v>32</v>
      </c>
      <c r="L69">
        <v>593929</v>
      </c>
      <c r="M69" t="s">
        <v>33</v>
      </c>
      <c r="N69" t="s">
        <v>91</v>
      </c>
      <c r="O69" t="s">
        <v>344</v>
      </c>
      <c r="P69" t="s">
        <v>84</v>
      </c>
      <c r="Q69" t="s">
        <v>37</v>
      </c>
      <c r="R69" s="3">
        <v>6766.49</v>
      </c>
      <c r="S69">
        <v>11</v>
      </c>
      <c r="T69">
        <v>20</v>
      </c>
      <c r="U69" s="3">
        <v>28.05</v>
      </c>
      <c r="V69" s="3">
        <v>2125</v>
      </c>
      <c r="W69" t="s">
        <v>94</v>
      </c>
      <c r="X69">
        <v>2025</v>
      </c>
      <c r="Y69" t="s">
        <v>51</v>
      </c>
      <c r="Z69" t="str">
        <f t="shared" si="19"/>
        <v>Mar</v>
      </c>
      <c r="AA69" t="str">
        <f t="shared" si="20"/>
        <v>Thursday</v>
      </c>
      <c r="AB69" t="str">
        <f t="shared" si="21"/>
        <v>TBL</v>
      </c>
      <c r="AC69" t="str">
        <f t="shared" si="22"/>
        <v>Home Office</v>
      </c>
      <c r="AD69">
        <f t="shared" si="14"/>
        <v>74431.39</v>
      </c>
      <c r="AE69">
        <f t="shared" si="15"/>
        <v>14886.278</v>
      </c>
      <c r="AF69">
        <f t="shared" si="16"/>
        <v>59545.112000000001</v>
      </c>
      <c r="AG69" s="3">
        <f t="shared" si="17"/>
        <v>61670.112000000001</v>
      </c>
      <c r="AH69">
        <f t="shared" si="18"/>
        <v>3</v>
      </c>
    </row>
    <row r="70" spans="1:34" x14ac:dyDescent="0.3">
      <c r="A70">
        <v>69</v>
      </c>
      <c r="B70" t="s">
        <v>345</v>
      </c>
      <c r="C70" s="2">
        <v>45908</v>
      </c>
      <c r="D70" s="2">
        <v>45910</v>
      </c>
      <c r="E70" t="s">
        <v>62</v>
      </c>
      <c r="F70" t="s">
        <v>346</v>
      </c>
      <c r="G70" t="s">
        <v>347</v>
      </c>
      <c r="H70" t="s">
        <v>29</v>
      </c>
      <c r="I70" t="s">
        <v>111</v>
      </c>
      <c r="J70" t="s">
        <v>31</v>
      </c>
      <c r="K70" t="s">
        <v>32</v>
      </c>
      <c r="L70">
        <v>755250</v>
      </c>
      <c r="M70" t="s">
        <v>33</v>
      </c>
      <c r="N70" t="s">
        <v>47</v>
      </c>
      <c r="O70" t="s">
        <v>348</v>
      </c>
      <c r="P70" t="s">
        <v>135</v>
      </c>
      <c r="Q70" t="s">
        <v>37</v>
      </c>
      <c r="R70" s="3">
        <v>6955.33</v>
      </c>
      <c r="S70">
        <v>7</v>
      </c>
      <c r="T70">
        <v>10</v>
      </c>
      <c r="U70" s="3">
        <v>17.059999999999999</v>
      </c>
      <c r="V70" s="3">
        <v>2431.12</v>
      </c>
      <c r="W70" t="s">
        <v>94</v>
      </c>
      <c r="X70">
        <v>2025</v>
      </c>
      <c r="Y70" t="s">
        <v>39</v>
      </c>
      <c r="Z70" t="str">
        <f t="shared" si="19"/>
        <v>Mar</v>
      </c>
      <c r="AA70" t="str">
        <f t="shared" si="20"/>
        <v>Friday</v>
      </c>
      <c r="AB70" t="str">
        <f t="shared" si="21"/>
        <v>ART</v>
      </c>
      <c r="AC70" t="str">
        <f t="shared" si="22"/>
        <v>Consumer</v>
      </c>
      <c r="AD70">
        <f t="shared" si="14"/>
        <v>48687.31</v>
      </c>
      <c r="AE70">
        <f t="shared" si="15"/>
        <v>4868.7309999999998</v>
      </c>
      <c r="AF70">
        <f t="shared" si="16"/>
        <v>43818.578999999998</v>
      </c>
      <c r="AG70" s="3">
        <f t="shared" si="17"/>
        <v>46249.699000000001</v>
      </c>
      <c r="AH70">
        <f t="shared" si="18"/>
        <v>2</v>
      </c>
    </row>
    <row r="71" spans="1:34" x14ac:dyDescent="0.3">
      <c r="A71">
        <v>70</v>
      </c>
      <c r="B71" t="s">
        <v>349</v>
      </c>
      <c r="C71" s="2">
        <v>45911</v>
      </c>
      <c r="D71" s="2">
        <v>45912</v>
      </c>
      <c r="E71" t="s">
        <v>53</v>
      </c>
      <c r="F71" t="s">
        <v>350</v>
      </c>
      <c r="G71" t="s">
        <v>149</v>
      </c>
      <c r="H71" t="s">
        <v>80</v>
      </c>
      <c r="I71" t="s">
        <v>65</v>
      </c>
      <c r="J71" t="s">
        <v>81</v>
      </c>
      <c r="K71" t="s">
        <v>32</v>
      </c>
      <c r="L71">
        <v>619931</v>
      </c>
      <c r="M71" t="s">
        <v>33</v>
      </c>
      <c r="N71" t="s">
        <v>74</v>
      </c>
      <c r="O71" t="s">
        <v>351</v>
      </c>
      <c r="P71" t="s">
        <v>58</v>
      </c>
      <c r="Q71" t="s">
        <v>114</v>
      </c>
      <c r="R71" s="3">
        <v>1620.01</v>
      </c>
      <c r="S71">
        <v>2</v>
      </c>
      <c r="T71">
        <v>20</v>
      </c>
      <c r="U71" s="3">
        <v>38.15</v>
      </c>
      <c r="V71" s="3">
        <v>184.97</v>
      </c>
      <c r="W71" t="s">
        <v>38</v>
      </c>
      <c r="X71">
        <v>2025</v>
      </c>
      <c r="Y71" t="s">
        <v>167</v>
      </c>
      <c r="Z71" t="str">
        <f t="shared" si="19"/>
        <v>Mar</v>
      </c>
      <c r="AA71" t="str">
        <f t="shared" si="20"/>
        <v>Saturday</v>
      </c>
      <c r="AB71" t="str">
        <f t="shared" si="21"/>
        <v>MSW</v>
      </c>
      <c r="AC71" t="str">
        <f t="shared" si="22"/>
        <v>Home Office</v>
      </c>
      <c r="AD71">
        <f t="shared" si="14"/>
        <v>3240.02</v>
      </c>
      <c r="AE71">
        <f t="shared" si="15"/>
        <v>648.00400000000002</v>
      </c>
      <c r="AF71">
        <f t="shared" si="16"/>
        <v>2592.0160000000001</v>
      </c>
      <c r="AG71" s="3">
        <f t="shared" si="17"/>
        <v>2776.9859999999999</v>
      </c>
      <c r="AH71">
        <f t="shared" si="18"/>
        <v>1</v>
      </c>
    </row>
    <row r="72" spans="1:34" x14ac:dyDescent="0.3">
      <c r="A72">
        <v>71</v>
      </c>
      <c r="B72" t="s">
        <v>352</v>
      </c>
      <c r="C72" s="2">
        <v>45915</v>
      </c>
      <c r="D72" s="2">
        <v>45920</v>
      </c>
      <c r="E72" t="s">
        <v>53</v>
      </c>
      <c r="F72" t="s">
        <v>353</v>
      </c>
      <c r="G72" t="s">
        <v>354</v>
      </c>
      <c r="H72" t="s">
        <v>29</v>
      </c>
      <c r="I72" t="s">
        <v>139</v>
      </c>
      <c r="J72" t="s">
        <v>56</v>
      </c>
      <c r="K72" t="s">
        <v>32</v>
      </c>
      <c r="L72">
        <v>681210</v>
      </c>
      <c r="M72" t="s">
        <v>33</v>
      </c>
      <c r="N72" t="s">
        <v>47</v>
      </c>
      <c r="O72" t="s">
        <v>355</v>
      </c>
      <c r="P72" t="s">
        <v>206</v>
      </c>
      <c r="Q72" t="s">
        <v>93</v>
      </c>
      <c r="R72" s="3">
        <v>3439.29</v>
      </c>
      <c r="S72">
        <v>4</v>
      </c>
      <c r="T72">
        <v>25</v>
      </c>
      <c r="U72" s="3">
        <v>7.09</v>
      </c>
      <c r="V72" s="3">
        <v>854.98</v>
      </c>
      <c r="W72" t="s">
        <v>85</v>
      </c>
      <c r="X72">
        <v>2025</v>
      </c>
      <c r="Y72" t="s">
        <v>39</v>
      </c>
      <c r="Z72" t="str">
        <f t="shared" si="19"/>
        <v>Mar</v>
      </c>
      <c r="AA72" t="str">
        <f t="shared" si="20"/>
        <v>Sunday</v>
      </c>
      <c r="AB72" t="str">
        <f t="shared" si="21"/>
        <v>PH</v>
      </c>
      <c r="AC72" t="str">
        <f t="shared" si="22"/>
        <v>Consumer</v>
      </c>
      <c r="AD72">
        <f t="shared" si="14"/>
        <v>13757.16</v>
      </c>
      <c r="AE72">
        <f t="shared" si="15"/>
        <v>3439.29</v>
      </c>
      <c r="AF72">
        <f t="shared" si="16"/>
        <v>10317.869999999999</v>
      </c>
      <c r="AG72" s="3">
        <f t="shared" si="17"/>
        <v>11172.849999999999</v>
      </c>
      <c r="AH72">
        <f t="shared" si="18"/>
        <v>5</v>
      </c>
    </row>
    <row r="73" spans="1:34" x14ac:dyDescent="0.3">
      <c r="A73">
        <v>72</v>
      </c>
      <c r="B73" t="s">
        <v>356</v>
      </c>
      <c r="C73" s="2">
        <v>45919</v>
      </c>
      <c r="D73" s="2">
        <v>45923</v>
      </c>
      <c r="E73" t="s">
        <v>53</v>
      </c>
      <c r="F73" t="s">
        <v>357</v>
      </c>
      <c r="G73" t="s">
        <v>209</v>
      </c>
      <c r="H73" t="s">
        <v>44</v>
      </c>
      <c r="I73" t="s">
        <v>111</v>
      </c>
      <c r="J73" t="s">
        <v>56</v>
      </c>
      <c r="K73" t="s">
        <v>32</v>
      </c>
      <c r="L73">
        <v>614533</v>
      </c>
      <c r="M73" t="s">
        <v>33</v>
      </c>
      <c r="N73" t="s">
        <v>74</v>
      </c>
      <c r="O73" t="s">
        <v>358</v>
      </c>
      <c r="P73" t="s">
        <v>206</v>
      </c>
      <c r="Q73" t="s">
        <v>59</v>
      </c>
      <c r="R73" s="3">
        <v>45876.72</v>
      </c>
      <c r="S73">
        <v>7</v>
      </c>
      <c r="T73">
        <v>5</v>
      </c>
      <c r="U73" s="3">
        <v>21.63</v>
      </c>
      <c r="V73" s="3">
        <v>17206.18</v>
      </c>
      <c r="W73" t="s">
        <v>69</v>
      </c>
      <c r="X73">
        <v>2025</v>
      </c>
      <c r="Y73" t="s">
        <v>39</v>
      </c>
      <c r="Z73" t="str">
        <f t="shared" si="19"/>
        <v>Mar</v>
      </c>
      <c r="AA73" t="str">
        <f t="shared" si="20"/>
        <v>Monday</v>
      </c>
      <c r="AB73" t="str">
        <f t="shared" si="21"/>
        <v>PH</v>
      </c>
      <c r="AC73" t="str">
        <f t="shared" si="22"/>
        <v>Corporate</v>
      </c>
      <c r="AD73">
        <f t="shared" si="14"/>
        <v>321137.04000000004</v>
      </c>
      <c r="AE73">
        <f t="shared" si="15"/>
        <v>16056.852000000003</v>
      </c>
      <c r="AF73">
        <f t="shared" si="16"/>
        <v>305080.18800000002</v>
      </c>
      <c r="AG73" s="3">
        <f t="shared" si="17"/>
        <v>322286.36800000002</v>
      </c>
      <c r="AH73">
        <f t="shared" si="18"/>
        <v>4</v>
      </c>
    </row>
    <row r="74" spans="1:34" x14ac:dyDescent="0.3">
      <c r="A74">
        <v>73</v>
      </c>
      <c r="B74" t="s">
        <v>359</v>
      </c>
      <c r="C74" s="2">
        <v>45922</v>
      </c>
      <c r="D74" s="2">
        <v>45924</v>
      </c>
      <c r="E74" t="s">
        <v>26</v>
      </c>
      <c r="F74" t="s">
        <v>360</v>
      </c>
      <c r="G74" t="s">
        <v>200</v>
      </c>
      <c r="H74" t="s">
        <v>29</v>
      </c>
      <c r="I74" t="s">
        <v>30</v>
      </c>
      <c r="J74" t="s">
        <v>56</v>
      </c>
      <c r="K74" t="s">
        <v>32</v>
      </c>
      <c r="L74">
        <v>488093</v>
      </c>
      <c r="M74" t="s">
        <v>33</v>
      </c>
      <c r="N74" t="s">
        <v>74</v>
      </c>
      <c r="O74" t="s">
        <v>361</v>
      </c>
      <c r="P74" t="s">
        <v>58</v>
      </c>
      <c r="Q74" t="s">
        <v>37</v>
      </c>
      <c r="R74" s="3">
        <v>7650.78</v>
      </c>
      <c r="S74">
        <v>3</v>
      </c>
      <c r="T74">
        <v>10</v>
      </c>
      <c r="U74" s="3">
        <v>36.6</v>
      </c>
      <c r="V74" s="3">
        <v>472.5</v>
      </c>
      <c r="W74" t="s">
        <v>69</v>
      </c>
      <c r="X74">
        <v>2025</v>
      </c>
      <c r="Y74" t="s">
        <v>39</v>
      </c>
      <c r="Z74" t="str">
        <f t="shared" si="19"/>
        <v>Mar</v>
      </c>
      <c r="AA74" t="str">
        <f t="shared" si="20"/>
        <v>Tuesday</v>
      </c>
      <c r="AB74" t="str">
        <f t="shared" si="21"/>
        <v>MSW</v>
      </c>
      <c r="AC74" t="str">
        <f t="shared" si="22"/>
        <v>Consumer</v>
      </c>
      <c r="AD74">
        <f t="shared" si="14"/>
        <v>22952.34</v>
      </c>
      <c r="AE74">
        <f t="shared" si="15"/>
        <v>2295.2339999999999</v>
      </c>
      <c r="AF74">
        <f t="shared" si="16"/>
        <v>20657.106</v>
      </c>
      <c r="AG74" s="3">
        <f t="shared" si="17"/>
        <v>21129.606</v>
      </c>
      <c r="AH74">
        <f t="shared" si="18"/>
        <v>2</v>
      </c>
    </row>
    <row r="75" spans="1:34" x14ac:dyDescent="0.3">
      <c r="A75">
        <v>74</v>
      </c>
      <c r="B75" t="s">
        <v>362</v>
      </c>
      <c r="C75" s="2">
        <v>45926</v>
      </c>
      <c r="D75" s="2">
        <v>45927</v>
      </c>
      <c r="E75" t="s">
        <v>26</v>
      </c>
      <c r="F75" t="s">
        <v>363</v>
      </c>
      <c r="G75" t="s">
        <v>364</v>
      </c>
      <c r="H75" t="s">
        <v>29</v>
      </c>
      <c r="I75" t="s">
        <v>30</v>
      </c>
      <c r="J75" t="s">
        <v>56</v>
      </c>
      <c r="K75" t="s">
        <v>32</v>
      </c>
      <c r="L75">
        <v>716838</v>
      </c>
      <c r="M75" t="s">
        <v>33</v>
      </c>
      <c r="N75" t="s">
        <v>66</v>
      </c>
      <c r="O75" t="s">
        <v>365</v>
      </c>
      <c r="P75" t="s">
        <v>135</v>
      </c>
      <c r="Q75" t="s">
        <v>114</v>
      </c>
      <c r="R75" s="3">
        <v>1549.51</v>
      </c>
      <c r="S75">
        <v>2</v>
      </c>
      <c r="T75">
        <v>5</v>
      </c>
      <c r="U75" s="3">
        <v>-4.87</v>
      </c>
      <c r="V75" s="3">
        <v>122.68</v>
      </c>
      <c r="W75" t="s">
        <v>38</v>
      </c>
      <c r="X75">
        <v>2025</v>
      </c>
      <c r="Y75" t="s">
        <v>86</v>
      </c>
      <c r="Z75" t="str">
        <f t="shared" si="19"/>
        <v>Mar</v>
      </c>
      <c r="AA75" t="str">
        <f t="shared" si="20"/>
        <v>Wednesday</v>
      </c>
      <c r="AB75" t="str">
        <f t="shared" si="21"/>
        <v>ART</v>
      </c>
      <c r="AC75" t="str">
        <f t="shared" si="22"/>
        <v>Consumer</v>
      </c>
      <c r="AD75">
        <f t="shared" si="14"/>
        <v>3099.02</v>
      </c>
      <c r="AE75">
        <f t="shared" si="15"/>
        <v>154.95100000000002</v>
      </c>
      <c r="AF75">
        <f t="shared" si="16"/>
        <v>2944.069</v>
      </c>
      <c r="AG75" s="3">
        <f t="shared" si="17"/>
        <v>3066.7489999999998</v>
      </c>
      <c r="AH75">
        <f t="shared" si="18"/>
        <v>1</v>
      </c>
    </row>
    <row r="76" spans="1:34" x14ac:dyDescent="0.3">
      <c r="A76">
        <v>75</v>
      </c>
      <c r="B76" t="s">
        <v>366</v>
      </c>
      <c r="C76" s="2">
        <v>45930</v>
      </c>
      <c r="D76" s="2">
        <v>45934</v>
      </c>
      <c r="E76" t="s">
        <v>41</v>
      </c>
      <c r="F76" t="s">
        <v>367</v>
      </c>
      <c r="G76" t="s">
        <v>368</v>
      </c>
      <c r="H76" t="s">
        <v>80</v>
      </c>
      <c r="I76" t="s">
        <v>81</v>
      </c>
      <c r="J76" t="s">
        <v>81</v>
      </c>
      <c r="K76" t="s">
        <v>32</v>
      </c>
      <c r="L76">
        <v>689107</v>
      </c>
      <c r="M76" t="s">
        <v>33</v>
      </c>
      <c r="N76" t="s">
        <v>34</v>
      </c>
      <c r="O76" t="s">
        <v>369</v>
      </c>
      <c r="P76" t="s">
        <v>58</v>
      </c>
      <c r="Q76" t="s">
        <v>114</v>
      </c>
      <c r="R76" s="3">
        <v>1402.61</v>
      </c>
      <c r="S76">
        <v>11</v>
      </c>
      <c r="T76">
        <v>0</v>
      </c>
      <c r="U76" s="3">
        <v>36.86</v>
      </c>
      <c r="V76" s="3">
        <v>787.83</v>
      </c>
      <c r="W76" t="s">
        <v>94</v>
      </c>
      <c r="X76">
        <v>2025</v>
      </c>
      <c r="Y76" t="s">
        <v>39</v>
      </c>
      <c r="Z76" t="str">
        <f t="shared" si="19"/>
        <v>Mar</v>
      </c>
      <c r="AA76" t="str">
        <f t="shared" si="20"/>
        <v>Thursday</v>
      </c>
      <c r="AB76" t="str">
        <f t="shared" si="21"/>
        <v>MSW</v>
      </c>
      <c r="AC76" t="str">
        <f t="shared" si="22"/>
        <v>Home Office</v>
      </c>
      <c r="AD76">
        <f t="shared" si="14"/>
        <v>15428.71</v>
      </c>
      <c r="AE76">
        <f t="shared" si="15"/>
        <v>0</v>
      </c>
      <c r="AF76">
        <f t="shared" si="16"/>
        <v>15428.71</v>
      </c>
      <c r="AG76" s="3">
        <f t="shared" si="17"/>
        <v>16216.539999999999</v>
      </c>
      <c r="AH76">
        <f t="shared" si="18"/>
        <v>4</v>
      </c>
    </row>
    <row r="77" spans="1:34" x14ac:dyDescent="0.3">
      <c r="A77">
        <v>76</v>
      </c>
      <c r="B77" t="s">
        <v>370</v>
      </c>
      <c r="C77" s="2">
        <v>45933</v>
      </c>
      <c r="D77" s="2">
        <v>45938</v>
      </c>
      <c r="E77" t="s">
        <v>26</v>
      </c>
      <c r="F77" t="s">
        <v>371</v>
      </c>
      <c r="G77" t="s">
        <v>372</v>
      </c>
      <c r="H77" t="s">
        <v>80</v>
      </c>
      <c r="I77" t="s">
        <v>45</v>
      </c>
      <c r="J77" t="s">
        <v>90</v>
      </c>
      <c r="K77" t="s">
        <v>32</v>
      </c>
      <c r="L77">
        <v>428296</v>
      </c>
      <c r="M77" t="s">
        <v>33</v>
      </c>
      <c r="N77" t="s">
        <v>74</v>
      </c>
      <c r="O77" t="s">
        <v>373</v>
      </c>
      <c r="P77" t="s">
        <v>49</v>
      </c>
      <c r="Q77" t="s">
        <v>50</v>
      </c>
      <c r="R77" s="3">
        <v>703.87</v>
      </c>
      <c r="S77">
        <v>10</v>
      </c>
      <c r="T77">
        <v>5</v>
      </c>
      <c r="U77" s="3">
        <v>24.39</v>
      </c>
      <c r="V77" s="3">
        <v>177.88</v>
      </c>
      <c r="W77" t="s">
        <v>38</v>
      </c>
      <c r="X77">
        <v>2025</v>
      </c>
      <c r="Y77" t="s">
        <v>39</v>
      </c>
      <c r="Z77" t="str">
        <f t="shared" si="19"/>
        <v>Mar</v>
      </c>
      <c r="AA77" t="str">
        <f t="shared" si="20"/>
        <v>Friday</v>
      </c>
      <c r="AB77" t="str">
        <f t="shared" si="21"/>
        <v>CH</v>
      </c>
      <c r="AC77" t="str">
        <f t="shared" si="22"/>
        <v>Home Office</v>
      </c>
      <c r="AD77">
        <f t="shared" si="14"/>
        <v>7038.7</v>
      </c>
      <c r="AE77">
        <f t="shared" si="15"/>
        <v>351.935</v>
      </c>
      <c r="AF77">
        <f t="shared" si="16"/>
        <v>6686.7649999999994</v>
      </c>
      <c r="AG77" s="3">
        <f t="shared" si="17"/>
        <v>6864.6449999999995</v>
      </c>
      <c r="AH77">
        <f t="shared" si="18"/>
        <v>5</v>
      </c>
    </row>
    <row r="78" spans="1:34" x14ac:dyDescent="0.3">
      <c r="A78">
        <v>77</v>
      </c>
      <c r="B78" t="s">
        <v>374</v>
      </c>
      <c r="C78" s="2">
        <v>45937</v>
      </c>
      <c r="D78" s="2">
        <v>45941</v>
      </c>
      <c r="E78" t="s">
        <v>53</v>
      </c>
      <c r="F78" t="s">
        <v>375</v>
      </c>
      <c r="G78" t="s">
        <v>376</v>
      </c>
      <c r="H78" t="s">
        <v>44</v>
      </c>
      <c r="I78" t="s">
        <v>65</v>
      </c>
      <c r="J78" t="s">
        <v>31</v>
      </c>
      <c r="K78" t="s">
        <v>32</v>
      </c>
      <c r="L78">
        <v>413808</v>
      </c>
      <c r="M78" t="s">
        <v>33</v>
      </c>
      <c r="N78" t="s">
        <v>66</v>
      </c>
      <c r="O78" t="s">
        <v>377</v>
      </c>
      <c r="P78" t="s">
        <v>145</v>
      </c>
      <c r="Q78" t="s">
        <v>130</v>
      </c>
      <c r="R78" s="3">
        <v>18199.45</v>
      </c>
      <c r="S78">
        <v>7</v>
      </c>
      <c r="T78">
        <v>0</v>
      </c>
      <c r="U78" s="3">
        <v>-6.61</v>
      </c>
      <c r="V78" s="3">
        <v>5228.03</v>
      </c>
      <c r="W78" t="s">
        <v>38</v>
      </c>
      <c r="X78">
        <v>2025</v>
      </c>
      <c r="Y78" t="s">
        <v>51</v>
      </c>
      <c r="Z78" t="str">
        <f t="shared" si="19"/>
        <v>Mar</v>
      </c>
      <c r="AA78" t="str">
        <f t="shared" si="20"/>
        <v>Saturday</v>
      </c>
      <c r="AB78" t="str">
        <f t="shared" si="21"/>
        <v>CAB</v>
      </c>
      <c r="AC78" t="str">
        <f t="shared" si="22"/>
        <v>Corporate</v>
      </c>
      <c r="AD78">
        <f t="shared" si="14"/>
        <v>127396.15000000001</v>
      </c>
      <c r="AE78">
        <f t="shared" si="15"/>
        <v>0</v>
      </c>
      <c r="AF78">
        <f t="shared" si="16"/>
        <v>127396.15000000001</v>
      </c>
      <c r="AG78" s="3">
        <f t="shared" si="17"/>
        <v>132624.18000000002</v>
      </c>
      <c r="AH78">
        <f t="shared" si="18"/>
        <v>4</v>
      </c>
    </row>
    <row r="79" spans="1:34" x14ac:dyDescent="0.3">
      <c r="A79">
        <v>78</v>
      </c>
      <c r="B79" t="s">
        <v>378</v>
      </c>
      <c r="C79" s="2">
        <v>45941</v>
      </c>
      <c r="D79" s="2">
        <v>45942</v>
      </c>
      <c r="E79" t="s">
        <v>53</v>
      </c>
      <c r="F79" t="s">
        <v>379</v>
      </c>
      <c r="G79" t="s">
        <v>380</v>
      </c>
      <c r="H79" t="s">
        <v>29</v>
      </c>
      <c r="I79" t="s">
        <v>65</v>
      </c>
      <c r="J79" t="s">
        <v>46</v>
      </c>
      <c r="K79" t="s">
        <v>32</v>
      </c>
      <c r="L79">
        <v>557505</v>
      </c>
      <c r="M79" t="s">
        <v>33</v>
      </c>
      <c r="N79" t="s">
        <v>34</v>
      </c>
      <c r="O79" t="s">
        <v>381</v>
      </c>
      <c r="P79" t="s">
        <v>58</v>
      </c>
      <c r="Q79" t="s">
        <v>93</v>
      </c>
      <c r="R79" s="3">
        <v>3125.21</v>
      </c>
      <c r="S79">
        <v>1</v>
      </c>
      <c r="T79">
        <v>0</v>
      </c>
      <c r="U79" s="3">
        <v>5.05</v>
      </c>
      <c r="V79" s="3">
        <v>68.73</v>
      </c>
      <c r="W79" t="s">
        <v>38</v>
      </c>
      <c r="X79">
        <v>2025</v>
      </c>
      <c r="Y79" t="s">
        <v>70</v>
      </c>
      <c r="Z79" t="str">
        <f t="shared" si="19"/>
        <v>Mar</v>
      </c>
      <c r="AA79" t="str">
        <f t="shared" si="20"/>
        <v>Sunday</v>
      </c>
      <c r="AB79" t="str">
        <f t="shared" si="21"/>
        <v>MSW</v>
      </c>
      <c r="AC79" t="str">
        <f t="shared" si="22"/>
        <v>Consumer</v>
      </c>
      <c r="AD79">
        <f t="shared" si="14"/>
        <v>3125.21</v>
      </c>
      <c r="AE79">
        <f t="shared" si="15"/>
        <v>0</v>
      </c>
      <c r="AF79">
        <f t="shared" si="16"/>
        <v>3125.21</v>
      </c>
      <c r="AG79" s="3">
        <f t="shared" si="17"/>
        <v>3193.94</v>
      </c>
      <c r="AH79">
        <f t="shared" si="18"/>
        <v>1</v>
      </c>
    </row>
    <row r="80" spans="1:34" x14ac:dyDescent="0.3">
      <c r="A80">
        <v>79</v>
      </c>
      <c r="B80" t="s">
        <v>382</v>
      </c>
      <c r="C80" s="2">
        <v>45944</v>
      </c>
      <c r="D80" s="2">
        <v>45950</v>
      </c>
      <c r="E80" t="s">
        <v>26</v>
      </c>
      <c r="F80" t="s">
        <v>383</v>
      </c>
      <c r="G80" t="s">
        <v>299</v>
      </c>
      <c r="H80" t="s">
        <v>29</v>
      </c>
      <c r="I80" t="s">
        <v>98</v>
      </c>
      <c r="J80" t="s">
        <v>81</v>
      </c>
      <c r="K80" t="s">
        <v>32</v>
      </c>
      <c r="L80">
        <v>638068</v>
      </c>
      <c r="M80" t="s">
        <v>33</v>
      </c>
      <c r="N80" t="s">
        <v>74</v>
      </c>
      <c r="O80" t="s">
        <v>384</v>
      </c>
      <c r="P80" t="s">
        <v>191</v>
      </c>
      <c r="Q80" t="s">
        <v>59</v>
      </c>
      <c r="R80" s="3">
        <v>45170.26</v>
      </c>
      <c r="S80">
        <v>8</v>
      </c>
      <c r="T80">
        <v>5</v>
      </c>
      <c r="U80" s="3">
        <v>25.41</v>
      </c>
      <c r="V80" s="3">
        <v>8930.9599999999991</v>
      </c>
      <c r="W80" t="s">
        <v>94</v>
      </c>
      <c r="X80">
        <v>2025</v>
      </c>
      <c r="Y80" t="s">
        <v>60</v>
      </c>
      <c r="Z80" t="str">
        <f t="shared" si="19"/>
        <v>Mar</v>
      </c>
      <c r="AA80" t="str">
        <f t="shared" si="20"/>
        <v>Monday</v>
      </c>
      <c r="AB80" t="str">
        <f t="shared" si="21"/>
        <v>BIN</v>
      </c>
      <c r="AC80" t="str">
        <f t="shared" si="22"/>
        <v>Consumer</v>
      </c>
      <c r="AD80">
        <f t="shared" si="14"/>
        <v>361362.08</v>
      </c>
      <c r="AE80">
        <f t="shared" si="15"/>
        <v>18068.104000000003</v>
      </c>
      <c r="AF80">
        <f t="shared" si="16"/>
        <v>343293.97600000002</v>
      </c>
      <c r="AG80" s="3">
        <f t="shared" si="17"/>
        <v>352224.93600000005</v>
      </c>
      <c r="AH80">
        <f t="shared" si="18"/>
        <v>6</v>
      </c>
    </row>
    <row r="81" spans="1:34" x14ac:dyDescent="0.3">
      <c r="A81">
        <v>80</v>
      </c>
      <c r="B81" t="s">
        <v>385</v>
      </c>
      <c r="C81" s="2">
        <v>45948</v>
      </c>
      <c r="D81" s="2">
        <v>45954</v>
      </c>
      <c r="E81" t="s">
        <v>62</v>
      </c>
      <c r="F81" t="s">
        <v>386</v>
      </c>
      <c r="G81" t="s">
        <v>387</v>
      </c>
      <c r="H81" t="s">
        <v>29</v>
      </c>
      <c r="I81" t="s">
        <v>98</v>
      </c>
      <c r="J81" t="s">
        <v>56</v>
      </c>
      <c r="K81" t="s">
        <v>32</v>
      </c>
      <c r="L81">
        <v>568153</v>
      </c>
      <c r="M81" t="s">
        <v>33</v>
      </c>
      <c r="N81" t="s">
        <v>74</v>
      </c>
      <c r="O81" t="s">
        <v>388</v>
      </c>
      <c r="P81" t="s">
        <v>58</v>
      </c>
      <c r="Q81" t="s">
        <v>68</v>
      </c>
      <c r="R81" s="3">
        <v>1091.27</v>
      </c>
      <c r="S81">
        <v>3</v>
      </c>
      <c r="T81">
        <v>10</v>
      </c>
      <c r="U81" s="3">
        <v>-6.63</v>
      </c>
      <c r="V81" s="3">
        <v>143.44</v>
      </c>
      <c r="W81" t="s">
        <v>85</v>
      </c>
      <c r="X81">
        <v>2025</v>
      </c>
      <c r="Y81" t="s">
        <v>76</v>
      </c>
      <c r="Z81" t="str">
        <f t="shared" si="19"/>
        <v>Mar</v>
      </c>
      <c r="AA81" t="str">
        <f t="shared" si="20"/>
        <v>Tuesday</v>
      </c>
      <c r="AB81" t="str">
        <f t="shared" si="21"/>
        <v>MSW</v>
      </c>
      <c r="AC81" t="str">
        <f t="shared" si="22"/>
        <v>Consumer</v>
      </c>
      <c r="AD81">
        <f t="shared" si="14"/>
        <v>3273.81</v>
      </c>
      <c r="AE81">
        <f t="shared" si="15"/>
        <v>327.38100000000003</v>
      </c>
      <c r="AF81">
        <f t="shared" si="16"/>
        <v>2946.4290000000001</v>
      </c>
      <c r="AG81" s="3">
        <f t="shared" si="17"/>
        <v>3089.8690000000001</v>
      </c>
      <c r="AH81">
        <f t="shared" si="18"/>
        <v>6</v>
      </c>
    </row>
    <row r="82" spans="1:34" x14ac:dyDescent="0.3">
      <c r="A82">
        <v>81</v>
      </c>
      <c r="B82" t="s">
        <v>389</v>
      </c>
      <c r="C82" s="2">
        <v>45952</v>
      </c>
      <c r="D82" s="2">
        <v>45956</v>
      </c>
      <c r="E82" t="s">
        <v>26</v>
      </c>
      <c r="F82" t="s">
        <v>390</v>
      </c>
      <c r="G82" t="s">
        <v>391</v>
      </c>
      <c r="H82" t="s">
        <v>44</v>
      </c>
      <c r="I82" t="s">
        <v>111</v>
      </c>
      <c r="J82" t="s">
        <v>90</v>
      </c>
      <c r="K82" t="s">
        <v>32</v>
      </c>
      <c r="L82">
        <v>794541</v>
      </c>
      <c r="M82" t="s">
        <v>33</v>
      </c>
      <c r="N82" t="s">
        <v>47</v>
      </c>
      <c r="O82" t="s">
        <v>392</v>
      </c>
      <c r="P82" t="s">
        <v>206</v>
      </c>
      <c r="Q82" t="s">
        <v>146</v>
      </c>
      <c r="R82" s="3">
        <v>11199.08</v>
      </c>
      <c r="S82">
        <v>2</v>
      </c>
      <c r="T82">
        <v>25</v>
      </c>
      <c r="U82" s="3">
        <v>19.11</v>
      </c>
      <c r="V82" s="3">
        <v>626.32000000000005</v>
      </c>
      <c r="W82" t="s">
        <v>38</v>
      </c>
      <c r="X82">
        <v>2025</v>
      </c>
      <c r="Y82" t="s">
        <v>51</v>
      </c>
      <c r="Z82" t="str">
        <f t="shared" si="19"/>
        <v>Mar</v>
      </c>
      <c r="AA82" t="str">
        <f t="shared" si="20"/>
        <v>Wednesday</v>
      </c>
      <c r="AB82" t="str">
        <f t="shared" si="21"/>
        <v>PH</v>
      </c>
      <c r="AC82" t="str">
        <f t="shared" si="22"/>
        <v>Corporate</v>
      </c>
      <c r="AD82">
        <f t="shared" si="14"/>
        <v>22398.16</v>
      </c>
      <c r="AE82">
        <f t="shared" si="15"/>
        <v>5599.54</v>
      </c>
      <c r="AF82">
        <f t="shared" si="16"/>
        <v>16798.62</v>
      </c>
      <c r="AG82" s="3">
        <f t="shared" si="17"/>
        <v>17424.939999999999</v>
      </c>
      <c r="AH82">
        <f t="shared" si="18"/>
        <v>4</v>
      </c>
    </row>
    <row r="83" spans="1:34" x14ac:dyDescent="0.3">
      <c r="A83">
        <v>82</v>
      </c>
      <c r="B83" t="s">
        <v>393</v>
      </c>
      <c r="C83" s="2">
        <v>45955</v>
      </c>
      <c r="D83" s="2">
        <v>45958</v>
      </c>
      <c r="E83" t="s">
        <v>26</v>
      </c>
      <c r="F83" t="s">
        <v>394</v>
      </c>
      <c r="G83" t="s">
        <v>28</v>
      </c>
      <c r="H83" t="s">
        <v>44</v>
      </c>
      <c r="I83" t="s">
        <v>65</v>
      </c>
      <c r="J83" t="s">
        <v>46</v>
      </c>
      <c r="K83" t="s">
        <v>32</v>
      </c>
      <c r="L83">
        <v>753412</v>
      </c>
      <c r="M83" t="s">
        <v>33</v>
      </c>
      <c r="N83" t="s">
        <v>47</v>
      </c>
      <c r="O83" t="s">
        <v>395</v>
      </c>
      <c r="P83" t="s">
        <v>191</v>
      </c>
      <c r="Q83" t="s">
        <v>130</v>
      </c>
      <c r="R83" s="3">
        <v>19380.72</v>
      </c>
      <c r="S83">
        <v>3</v>
      </c>
      <c r="T83">
        <v>20</v>
      </c>
      <c r="U83" s="3">
        <v>7.29</v>
      </c>
      <c r="V83" s="3">
        <v>3142.73</v>
      </c>
      <c r="W83" t="s">
        <v>94</v>
      </c>
      <c r="X83">
        <v>2025</v>
      </c>
      <c r="Y83" t="s">
        <v>60</v>
      </c>
      <c r="Z83" t="str">
        <f t="shared" si="19"/>
        <v>Mar</v>
      </c>
      <c r="AA83" t="str">
        <f t="shared" si="20"/>
        <v>Thursday</v>
      </c>
      <c r="AB83" t="str">
        <f t="shared" si="21"/>
        <v>BIN</v>
      </c>
      <c r="AC83" t="str">
        <f t="shared" si="22"/>
        <v>Corporate</v>
      </c>
      <c r="AD83">
        <f t="shared" si="14"/>
        <v>58142.16</v>
      </c>
      <c r="AE83">
        <f t="shared" si="15"/>
        <v>11628.432000000001</v>
      </c>
      <c r="AF83">
        <f t="shared" si="16"/>
        <v>46513.728000000003</v>
      </c>
      <c r="AG83" s="3">
        <f t="shared" si="17"/>
        <v>49656.458000000006</v>
      </c>
      <c r="AH83">
        <f t="shared" si="18"/>
        <v>3</v>
      </c>
    </row>
    <row r="84" spans="1:34" x14ac:dyDescent="0.3">
      <c r="A84">
        <v>83</v>
      </c>
      <c r="B84" t="s">
        <v>396</v>
      </c>
      <c r="C84" s="2">
        <v>45959</v>
      </c>
      <c r="D84" s="2">
        <v>45963</v>
      </c>
      <c r="E84" t="s">
        <v>53</v>
      </c>
      <c r="F84" t="s">
        <v>397</v>
      </c>
      <c r="G84" t="s">
        <v>398</v>
      </c>
      <c r="H84" t="s">
        <v>44</v>
      </c>
      <c r="I84" t="s">
        <v>111</v>
      </c>
      <c r="J84" t="s">
        <v>46</v>
      </c>
      <c r="K84" t="s">
        <v>32</v>
      </c>
      <c r="L84">
        <v>566982</v>
      </c>
      <c r="M84" t="s">
        <v>33</v>
      </c>
      <c r="N84" t="s">
        <v>34</v>
      </c>
      <c r="O84" t="s">
        <v>399</v>
      </c>
      <c r="P84" t="s">
        <v>206</v>
      </c>
      <c r="Q84" t="s">
        <v>130</v>
      </c>
      <c r="R84" s="3">
        <v>16956.36</v>
      </c>
      <c r="S84">
        <v>5</v>
      </c>
      <c r="T84">
        <v>20</v>
      </c>
      <c r="U84" s="3">
        <v>21.05</v>
      </c>
      <c r="V84" s="3">
        <v>5202.88</v>
      </c>
      <c r="W84" t="s">
        <v>85</v>
      </c>
      <c r="X84">
        <v>2025</v>
      </c>
      <c r="Y84" t="s">
        <v>39</v>
      </c>
      <c r="Z84" t="str">
        <f t="shared" si="19"/>
        <v>Mar</v>
      </c>
      <c r="AA84" t="str">
        <f t="shared" si="20"/>
        <v>Friday</v>
      </c>
      <c r="AB84" t="str">
        <f t="shared" si="21"/>
        <v>PH</v>
      </c>
      <c r="AC84" t="str">
        <f t="shared" si="22"/>
        <v>Corporate</v>
      </c>
      <c r="AD84">
        <f t="shared" si="14"/>
        <v>84781.8</v>
      </c>
      <c r="AE84">
        <f t="shared" si="15"/>
        <v>16956.36</v>
      </c>
      <c r="AF84">
        <f t="shared" si="16"/>
        <v>67825.440000000002</v>
      </c>
      <c r="AG84" s="3">
        <f t="shared" si="17"/>
        <v>73028.320000000007</v>
      </c>
      <c r="AH84">
        <f t="shared" si="18"/>
        <v>4</v>
      </c>
    </row>
    <row r="85" spans="1:34" x14ac:dyDescent="0.3">
      <c r="A85">
        <v>84</v>
      </c>
      <c r="B85" t="s">
        <v>400</v>
      </c>
      <c r="C85" s="2">
        <v>45963</v>
      </c>
      <c r="D85" s="2">
        <v>45965</v>
      </c>
      <c r="E85" t="s">
        <v>41</v>
      </c>
      <c r="F85" t="s">
        <v>401</v>
      </c>
      <c r="G85" t="s">
        <v>380</v>
      </c>
      <c r="H85" t="s">
        <v>44</v>
      </c>
      <c r="I85" t="s">
        <v>139</v>
      </c>
      <c r="J85" t="s">
        <v>105</v>
      </c>
      <c r="K85" t="s">
        <v>32</v>
      </c>
      <c r="L85">
        <v>620412</v>
      </c>
      <c r="M85" t="s">
        <v>33</v>
      </c>
      <c r="N85" t="s">
        <v>74</v>
      </c>
      <c r="O85" t="s">
        <v>402</v>
      </c>
      <c r="P85" t="s">
        <v>36</v>
      </c>
      <c r="Q85" t="s">
        <v>50</v>
      </c>
      <c r="R85" s="3">
        <v>663.41</v>
      </c>
      <c r="S85">
        <v>11</v>
      </c>
      <c r="T85">
        <v>25</v>
      </c>
      <c r="U85" s="3">
        <v>-7.71</v>
      </c>
      <c r="V85" s="3">
        <v>496.49</v>
      </c>
      <c r="W85" t="s">
        <v>38</v>
      </c>
      <c r="X85">
        <v>2025</v>
      </c>
      <c r="Y85" t="s">
        <v>70</v>
      </c>
      <c r="Z85" t="str">
        <f t="shared" si="19"/>
        <v>Mar</v>
      </c>
      <c r="AA85" t="str">
        <f t="shared" si="20"/>
        <v>Saturday</v>
      </c>
      <c r="AB85" t="str">
        <f t="shared" si="21"/>
        <v>MON</v>
      </c>
      <c r="AC85" t="str">
        <f t="shared" si="22"/>
        <v>Corporate</v>
      </c>
      <c r="AD85">
        <f t="shared" si="14"/>
        <v>7297.5099999999993</v>
      </c>
      <c r="AE85">
        <f t="shared" si="15"/>
        <v>1824.3774999999998</v>
      </c>
      <c r="AF85">
        <f t="shared" si="16"/>
        <v>5473.1324999999997</v>
      </c>
      <c r="AG85" s="3">
        <f t="shared" si="17"/>
        <v>5969.6224999999995</v>
      </c>
      <c r="AH85">
        <f t="shared" si="18"/>
        <v>2</v>
      </c>
    </row>
    <row r="86" spans="1:34" x14ac:dyDescent="0.3">
      <c r="A86">
        <v>85</v>
      </c>
      <c r="B86" t="s">
        <v>403</v>
      </c>
      <c r="C86" s="2">
        <v>45966</v>
      </c>
      <c r="D86" s="2">
        <v>45968</v>
      </c>
      <c r="E86" t="s">
        <v>53</v>
      </c>
      <c r="F86" t="s">
        <v>404</v>
      </c>
      <c r="G86" t="s">
        <v>405</v>
      </c>
      <c r="H86" t="s">
        <v>44</v>
      </c>
      <c r="I86" t="s">
        <v>111</v>
      </c>
      <c r="J86" t="s">
        <v>81</v>
      </c>
      <c r="K86" t="s">
        <v>32</v>
      </c>
      <c r="L86">
        <v>419871</v>
      </c>
      <c r="M86" t="s">
        <v>33</v>
      </c>
      <c r="N86" t="s">
        <v>91</v>
      </c>
      <c r="O86" t="s">
        <v>406</v>
      </c>
      <c r="P86" t="s">
        <v>84</v>
      </c>
      <c r="Q86" t="s">
        <v>68</v>
      </c>
      <c r="R86" s="3">
        <v>1138.8800000000001</v>
      </c>
      <c r="S86">
        <v>8</v>
      </c>
      <c r="T86">
        <v>0</v>
      </c>
      <c r="U86" s="3">
        <v>33.58</v>
      </c>
      <c r="V86" s="3">
        <v>291.64</v>
      </c>
      <c r="W86" t="s">
        <v>69</v>
      </c>
      <c r="X86">
        <v>2025</v>
      </c>
      <c r="Y86" t="s">
        <v>167</v>
      </c>
      <c r="Z86" t="str">
        <f t="shared" si="19"/>
        <v>Mar</v>
      </c>
      <c r="AA86" t="str">
        <f t="shared" si="20"/>
        <v>Sunday</v>
      </c>
      <c r="AB86" t="str">
        <f t="shared" si="21"/>
        <v>TBL</v>
      </c>
      <c r="AC86" t="str">
        <f t="shared" si="22"/>
        <v>Corporate</v>
      </c>
      <c r="AD86">
        <f t="shared" si="14"/>
        <v>9111.0400000000009</v>
      </c>
      <c r="AE86">
        <f t="shared" si="15"/>
        <v>0</v>
      </c>
      <c r="AF86">
        <f t="shared" si="16"/>
        <v>9111.0400000000009</v>
      </c>
      <c r="AG86" s="3">
        <f t="shared" si="17"/>
        <v>9402.68</v>
      </c>
      <c r="AH86">
        <f t="shared" si="18"/>
        <v>2</v>
      </c>
    </row>
    <row r="87" spans="1:34" x14ac:dyDescent="0.3">
      <c r="A87">
        <v>86</v>
      </c>
      <c r="B87" t="s">
        <v>407</v>
      </c>
      <c r="C87" s="2">
        <v>45970</v>
      </c>
      <c r="D87" s="2">
        <v>45976</v>
      </c>
      <c r="E87" t="s">
        <v>41</v>
      </c>
      <c r="F87" t="s">
        <v>408</v>
      </c>
      <c r="G87" t="s">
        <v>266</v>
      </c>
      <c r="H87" t="s">
        <v>80</v>
      </c>
      <c r="I87" t="s">
        <v>98</v>
      </c>
      <c r="J87" t="s">
        <v>56</v>
      </c>
      <c r="K87" t="s">
        <v>32</v>
      </c>
      <c r="L87">
        <v>603197</v>
      </c>
      <c r="M87" t="s">
        <v>33</v>
      </c>
      <c r="N87" t="s">
        <v>47</v>
      </c>
      <c r="O87" t="s">
        <v>409</v>
      </c>
      <c r="P87" t="s">
        <v>206</v>
      </c>
      <c r="Q87" t="s">
        <v>37</v>
      </c>
      <c r="R87" s="3">
        <v>7333.94</v>
      </c>
      <c r="S87">
        <v>10</v>
      </c>
      <c r="T87">
        <v>0</v>
      </c>
      <c r="U87" s="3">
        <v>38.67</v>
      </c>
      <c r="V87" s="3">
        <v>2203.77</v>
      </c>
      <c r="W87" t="s">
        <v>85</v>
      </c>
      <c r="X87">
        <v>2025</v>
      </c>
      <c r="Y87" t="s">
        <v>70</v>
      </c>
      <c r="Z87" t="str">
        <f t="shared" si="19"/>
        <v>Mar</v>
      </c>
      <c r="AA87" t="str">
        <f t="shared" si="20"/>
        <v>Monday</v>
      </c>
      <c r="AB87" t="str">
        <f t="shared" si="21"/>
        <v>PH</v>
      </c>
      <c r="AC87" t="str">
        <f t="shared" si="22"/>
        <v>Home Office</v>
      </c>
      <c r="AD87">
        <f t="shared" si="14"/>
        <v>73339.399999999994</v>
      </c>
      <c r="AE87">
        <f t="shared" si="15"/>
        <v>0</v>
      </c>
      <c r="AF87">
        <f t="shared" si="16"/>
        <v>73339.399999999994</v>
      </c>
      <c r="AG87" s="3">
        <f t="shared" si="17"/>
        <v>75543.17</v>
      </c>
      <c r="AH87">
        <f t="shared" si="18"/>
        <v>6</v>
      </c>
    </row>
    <row r="88" spans="1:34" x14ac:dyDescent="0.3">
      <c r="A88">
        <v>87</v>
      </c>
      <c r="B88" t="s">
        <v>410</v>
      </c>
      <c r="C88" s="2">
        <v>45974</v>
      </c>
      <c r="D88" s="2">
        <v>45977</v>
      </c>
      <c r="E88" t="s">
        <v>53</v>
      </c>
      <c r="F88" t="s">
        <v>411</v>
      </c>
      <c r="G88" t="s">
        <v>412</v>
      </c>
      <c r="H88" t="s">
        <v>29</v>
      </c>
      <c r="I88" t="s">
        <v>45</v>
      </c>
      <c r="J88" t="s">
        <v>81</v>
      </c>
      <c r="K88" t="s">
        <v>32</v>
      </c>
      <c r="L88">
        <v>648684</v>
      </c>
      <c r="M88" t="s">
        <v>33</v>
      </c>
      <c r="N88" t="s">
        <v>34</v>
      </c>
      <c r="O88" t="s">
        <v>413</v>
      </c>
      <c r="P88" t="s">
        <v>191</v>
      </c>
      <c r="Q88" t="s">
        <v>37</v>
      </c>
      <c r="R88" s="3">
        <v>7183.04</v>
      </c>
      <c r="S88">
        <v>7</v>
      </c>
      <c r="T88">
        <v>10</v>
      </c>
      <c r="U88" s="3">
        <v>38.44</v>
      </c>
      <c r="V88" s="3">
        <v>1321.09</v>
      </c>
      <c r="W88" t="s">
        <v>38</v>
      </c>
      <c r="X88">
        <v>2025</v>
      </c>
      <c r="Y88" t="s">
        <v>51</v>
      </c>
      <c r="Z88" t="str">
        <f t="shared" si="19"/>
        <v>Mar</v>
      </c>
      <c r="AA88" t="str">
        <f t="shared" si="20"/>
        <v>Tuesday</v>
      </c>
      <c r="AB88" t="str">
        <f t="shared" si="21"/>
        <v>BIN</v>
      </c>
      <c r="AC88" t="str">
        <f t="shared" si="22"/>
        <v>Consumer</v>
      </c>
      <c r="AD88">
        <f t="shared" si="14"/>
        <v>50281.279999999999</v>
      </c>
      <c r="AE88">
        <f t="shared" si="15"/>
        <v>5028.1280000000006</v>
      </c>
      <c r="AF88">
        <f t="shared" si="16"/>
        <v>45253.152000000002</v>
      </c>
      <c r="AG88" s="3">
        <f t="shared" si="17"/>
        <v>46574.241999999998</v>
      </c>
      <c r="AH88">
        <f t="shared" si="18"/>
        <v>3</v>
      </c>
    </row>
    <row r="89" spans="1:34" x14ac:dyDescent="0.3">
      <c r="A89">
        <v>88</v>
      </c>
      <c r="B89" t="s">
        <v>414</v>
      </c>
      <c r="C89" s="2">
        <v>45977</v>
      </c>
      <c r="D89" s="2">
        <v>45978</v>
      </c>
      <c r="E89" t="s">
        <v>26</v>
      </c>
      <c r="F89" t="s">
        <v>415</v>
      </c>
      <c r="G89" t="s">
        <v>416</v>
      </c>
      <c r="H89" t="s">
        <v>29</v>
      </c>
      <c r="I89" t="s">
        <v>111</v>
      </c>
      <c r="J89" t="s">
        <v>90</v>
      </c>
      <c r="K89" t="s">
        <v>32</v>
      </c>
      <c r="L89">
        <v>634678</v>
      </c>
      <c r="M89" t="s">
        <v>33</v>
      </c>
      <c r="N89" t="s">
        <v>74</v>
      </c>
      <c r="O89" t="s">
        <v>417</v>
      </c>
      <c r="P89" t="s">
        <v>36</v>
      </c>
      <c r="Q89" t="s">
        <v>50</v>
      </c>
      <c r="R89" s="3">
        <v>631.24</v>
      </c>
      <c r="S89">
        <v>7</v>
      </c>
      <c r="T89">
        <v>15</v>
      </c>
      <c r="U89" s="3">
        <v>27.48</v>
      </c>
      <c r="V89" s="3">
        <v>257.10000000000002</v>
      </c>
      <c r="W89" t="s">
        <v>85</v>
      </c>
      <c r="X89">
        <v>2025</v>
      </c>
      <c r="Y89" t="s">
        <v>39</v>
      </c>
      <c r="Z89" t="str">
        <f t="shared" si="19"/>
        <v>Mar</v>
      </c>
      <c r="AA89" t="str">
        <f t="shared" si="20"/>
        <v>Wednesday</v>
      </c>
      <c r="AB89" t="str">
        <f t="shared" si="21"/>
        <v>MON</v>
      </c>
      <c r="AC89" t="str">
        <f t="shared" si="22"/>
        <v>Consumer</v>
      </c>
      <c r="AD89">
        <f t="shared" si="14"/>
        <v>4418.68</v>
      </c>
      <c r="AE89">
        <f t="shared" si="15"/>
        <v>662.80200000000002</v>
      </c>
      <c r="AF89">
        <f t="shared" si="16"/>
        <v>3755.8780000000002</v>
      </c>
      <c r="AG89" s="3">
        <f t="shared" si="17"/>
        <v>4012.9780000000001</v>
      </c>
      <c r="AH89">
        <f t="shared" si="18"/>
        <v>1</v>
      </c>
    </row>
    <row r="90" spans="1:34" x14ac:dyDescent="0.3">
      <c r="A90">
        <v>89</v>
      </c>
      <c r="B90" t="s">
        <v>418</v>
      </c>
      <c r="C90" s="2">
        <v>45981</v>
      </c>
      <c r="D90" s="2">
        <v>45983</v>
      </c>
      <c r="E90" t="s">
        <v>53</v>
      </c>
      <c r="F90" t="s">
        <v>419</v>
      </c>
      <c r="G90" t="s">
        <v>420</v>
      </c>
      <c r="H90" t="s">
        <v>29</v>
      </c>
      <c r="I90" t="s">
        <v>104</v>
      </c>
      <c r="J90" t="s">
        <v>46</v>
      </c>
      <c r="K90" t="s">
        <v>32</v>
      </c>
      <c r="L90">
        <v>426791</v>
      </c>
      <c r="M90" t="s">
        <v>33</v>
      </c>
      <c r="N90" t="s">
        <v>74</v>
      </c>
      <c r="O90" t="s">
        <v>421</v>
      </c>
      <c r="P90" t="s">
        <v>206</v>
      </c>
      <c r="Q90" t="s">
        <v>114</v>
      </c>
      <c r="R90" s="3">
        <v>1565.71</v>
      </c>
      <c r="S90">
        <v>7</v>
      </c>
      <c r="T90">
        <v>5</v>
      </c>
      <c r="U90" s="3">
        <v>-3.5</v>
      </c>
      <c r="V90" s="3">
        <v>683.78</v>
      </c>
      <c r="W90" t="s">
        <v>85</v>
      </c>
      <c r="X90">
        <v>2025</v>
      </c>
      <c r="Y90" t="s">
        <v>70</v>
      </c>
      <c r="Z90" t="str">
        <f t="shared" si="19"/>
        <v>Mar</v>
      </c>
      <c r="AA90" t="str">
        <f t="shared" si="20"/>
        <v>Thursday</v>
      </c>
      <c r="AB90" t="str">
        <f t="shared" si="21"/>
        <v>PH</v>
      </c>
      <c r="AC90" t="str">
        <f t="shared" si="22"/>
        <v>Consumer</v>
      </c>
      <c r="AD90">
        <f t="shared" si="14"/>
        <v>10959.970000000001</v>
      </c>
      <c r="AE90">
        <f t="shared" si="15"/>
        <v>547.99850000000004</v>
      </c>
      <c r="AF90">
        <f t="shared" si="16"/>
        <v>10411.971500000001</v>
      </c>
      <c r="AG90" s="3">
        <f t="shared" si="17"/>
        <v>11095.751500000002</v>
      </c>
      <c r="AH90">
        <f t="shared" si="18"/>
        <v>2</v>
      </c>
    </row>
    <row r="91" spans="1:34" x14ac:dyDescent="0.3">
      <c r="A91">
        <v>90</v>
      </c>
      <c r="B91" t="s">
        <v>422</v>
      </c>
      <c r="C91" s="2">
        <v>45985</v>
      </c>
      <c r="D91" s="2">
        <v>45991</v>
      </c>
      <c r="E91" t="s">
        <v>53</v>
      </c>
      <c r="F91" t="s">
        <v>423</v>
      </c>
      <c r="G91" t="s">
        <v>424</v>
      </c>
      <c r="H91" t="s">
        <v>29</v>
      </c>
      <c r="I91" t="s">
        <v>45</v>
      </c>
      <c r="J91" t="s">
        <v>81</v>
      </c>
      <c r="K91" t="s">
        <v>32</v>
      </c>
      <c r="L91">
        <v>518875</v>
      </c>
      <c r="M91" t="s">
        <v>33</v>
      </c>
      <c r="N91" t="s">
        <v>91</v>
      </c>
      <c r="O91" t="s">
        <v>425</v>
      </c>
      <c r="P91" t="s">
        <v>49</v>
      </c>
      <c r="Q91" t="s">
        <v>37</v>
      </c>
      <c r="R91" s="3">
        <v>7195.68</v>
      </c>
      <c r="S91">
        <v>8</v>
      </c>
      <c r="T91">
        <v>0</v>
      </c>
      <c r="U91" s="3">
        <v>27.91</v>
      </c>
      <c r="V91" s="3">
        <v>1260.4100000000001</v>
      </c>
      <c r="W91" t="s">
        <v>85</v>
      </c>
      <c r="X91">
        <v>2025</v>
      </c>
      <c r="Y91" t="s">
        <v>100</v>
      </c>
      <c r="Z91" t="str">
        <f t="shared" si="19"/>
        <v>Mar</v>
      </c>
      <c r="AA91" t="str">
        <f t="shared" si="20"/>
        <v>Friday</v>
      </c>
      <c r="AB91" t="str">
        <f t="shared" si="21"/>
        <v>CH</v>
      </c>
      <c r="AC91" t="str">
        <f t="shared" si="22"/>
        <v>Consumer</v>
      </c>
      <c r="AD91">
        <f t="shared" si="14"/>
        <v>57565.440000000002</v>
      </c>
      <c r="AE91">
        <f t="shared" si="15"/>
        <v>0</v>
      </c>
      <c r="AF91">
        <f t="shared" si="16"/>
        <v>57565.440000000002</v>
      </c>
      <c r="AG91" s="3">
        <f t="shared" si="17"/>
        <v>58825.850000000006</v>
      </c>
      <c r="AH91">
        <f t="shared" si="18"/>
        <v>6</v>
      </c>
    </row>
    <row r="92" spans="1:34" x14ac:dyDescent="0.3">
      <c r="A92">
        <v>91</v>
      </c>
      <c r="B92" t="s">
        <v>426</v>
      </c>
      <c r="C92" s="2">
        <v>45988</v>
      </c>
      <c r="D92" s="2">
        <v>45993</v>
      </c>
      <c r="E92" t="s">
        <v>53</v>
      </c>
      <c r="F92" t="s">
        <v>427</v>
      </c>
      <c r="G92" t="s">
        <v>428</v>
      </c>
      <c r="H92" t="s">
        <v>29</v>
      </c>
      <c r="I92" t="s">
        <v>65</v>
      </c>
      <c r="J92" t="s">
        <v>56</v>
      </c>
      <c r="K92" t="s">
        <v>32</v>
      </c>
      <c r="L92">
        <v>687434</v>
      </c>
      <c r="M92" t="s">
        <v>33</v>
      </c>
      <c r="N92" t="s">
        <v>34</v>
      </c>
      <c r="O92" t="s">
        <v>429</v>
      </c>
      <c r="P92" t="s">
        <v>58</v>
      </c>
      <c r="Q92" t="s">
        <v>93</v>
      </c>
      <c r="R92" s="3">
        <v>3242.5</v>
      </c>
      <c r="S92">
        <v>1</v>
      </c>
      <c r="T92">
        <v>20</v>
      </c>
      <c r="U92" s="3">
        <v>-8.77</v>
      </c>
      <c r="V92" s="3">
        <v>246.99</v>
      </c>
      <c r="W92" t="s">
        <v>85</v>
      </c>
      <c r="X92">
        <v>2025</v>
      </c>
      <c r="Y92" t="s">
        <v>70</v>
      </c>
      <c r="Z92" t="str">
        <f t="shared" si="19"/>
        <v>Mar</v>
      </c>
      <c r="AA92" t="str">
        <f t="shared" si="20"/>
        <v>Saturday</v>
      </c>
      <c r="AB92" t="str">
        <f t="shared" si="21"/>
        <v>MSW</v>
      </c>
      <c r="AC92" t="str">
        <f t="shared" si="22"/>
        <v>Consumer</v>
      </c>
      <c r="AD92">
        <f t="shared" si="14"/>
        <v>3242.5</v>
      </c>
      <c r="AE92">
        <f t="shared" si="15"/>
        <v>648.5</v>
      </c>
      <c r="AF92">
        <f t="shared" si="16"/>
        <v>2594</v>
      </c>
      <c r="AG92" s="3">
        <f t="shared" si="17"/>
        <v>2840.99</v>
      </c>
      <c r="AH92">
        <f t="shared" si="18"/>
        <v>5</v>
      </c>
    </row>
    <row r="93" spans="1:34" x14ac:dyDescent="0.3">
      <c r="A93">
        <v>92</v>
      </c>
      <c r="B93" t="s">
        <v>430</v>
      </c>
      <c r="C93" s="2">
        <v>45992</v>
      </c>
      <c r="D93" s="2">
        <v>45998</v>
      </c>
      <c r="E93" t="s">
        <v>26</v>
      </c>
      <c r="F93" t="s">
        <v>431</v>
      </c>
      <c r="G93" t="s">
        <v>244</v>
      </c>
      <c r="H93" t="s">
        <v>29</v>
      </c>
      <c r="I93" t="s">
        <v>65</v>
      </c>
      <c r="J93" t="s">
        <v>105</v>
      </c>
      <c r="K93" t="s">
        <v>32</v>
      </c>
      <c r="L93">
        <v>624787</v>
      </c>
      <c r="M93" t="s">
        <v>33</v>
      </c>
      <c r="N93" t="s">
        <v>74</v>
      </c>
      <c r="O93" t="s">
        <v>432</v>
      </c>
      <c r="P93" t="s">
        <v>84</v>
      </c>
      <c r="Q93" t="s">
        <v>59</v>
      </c>
      <c r="R93" s="3">
        <v>44784.45</v>
      </c>
      <c r="S93">
        <v>4</v>
      </c>
      <c r="T93">
        <v>10</v>
      </c>
      <c r="U93" s="3">
        <v>-8.89</v>
      </c>
      <c r="V93" s="3">
        <v>4141.3599999999997</v>
      </c>
      <c r="W93" t="s">
        <v>85</v>
      </c>
      <c r="X93">
        <v>2025</v>
      </c>
      <c r="Y93" t="s">
        <v>39</v>
      </c>
      <c r="Z93" t="str">
        <f t="shared" si="19"/>
        <v>Apr</v>
      </c>
      <c r="AA93" t="str">
        <f t="shared" si="20"/>
        <v>Sunday</v>
      </c>
      <c r="AB93" t="str">
        <f t="shared" si="21"/>
        <v>TBL</v>
      </c>
      <c r="AC93" t="str">
        <f t="shared" si="22"/>
        <v>Consumer</v>
      </c>
      <c r="AD93">
        <f t="shared" si="14"/>
        <v>179137.8</v>
      </c>
      <c r="AE93">
        <f t="shared" si="15"/>
        <v>17913.78</v>
      </c>
      <c r="AF93">
        <f t="shared" si="16"/>
        <v>161224.01999999999</v>
      </c>
      <c r="AG93" s="3">
        <f t="shared" si="17"/>
        <v>165365.37999999998</v>
      </c>
      <c r="AH93">
        <f t="shared" si="18"/>
        <v>6</v>
      </c>
    </row>
    <row r="94" spans="1:34" x14ac:dyDescent="0.3">
      <c r="A94">
        <v>93</v>
      </c>
      <c r="B94" t="s">
        <v>433</v>
      </c>
      <c r="C94" s="2">
        <v>45996</v>
      </c>
      <c r="D94" s="2">
        <v>45998</v>
      </c>
      <c r="E94" t="s">
        <v>26</v>
      </c>
      <c r="F94" t="s">
        <v>434</v>
      </c>
      <c r="G94" t="s">
        <v>435</v>
      </c>
      <c r="H94" t="s">
        <v>29</v>
      </c>
      <c r="I94" t="s">
        <v>111</v>
      </c>
      <c r="J94" t="s">
        <v>81</v>
      </c>
      <c r="K94" t="s">
        <v>32</v>
      </c>
      <c r="L94">
        <v>415486</v>
      </c>
      <c r="M94" t="s">
        <v>33</v>
      </c>
      <c r="N94" t="s">
        <v>47</v>
      </c>
      <c r="O94" t="s">
        <v>436</v>
      </c>
      <c r="P94" t="s">
        <v>206</v>
      </c>
      <c r="Q94" t="s">
        <v>130</v>
      </c>
      <c r="R94" s="3">
        <v>19105.580000000002</v>
      </c>
      <c r="S94">
        <v>6</v>
      </c>
      <c r="T94">
        <v>5</v>
      </c>
      <c r="U94" s="3">
        <v>6.18</v>
      </c>
      <c r="V94" s="3">
        <v>6015.71</v>
      </c>
      <c r="W94" t="s">
        <v>85</v>
      </c>
      <c r="X94">
        <v>2025</v>
      </c>
      <c r="Y94" t="s">
        <v>86</v>
      </c>
      <c r="Z94" t="str">
        <f t="shared" si="19"/>
        <v>Apr</v>
      </c>
      <c r="AA94" t="str">
        <f t="shared" si="20"/>
        <v>Monday</v>
      </c>
      <c r="AB94" t="str">
        <f t="shared" si="21"/>
        <v>PH</v>
      </c>
      <c r="AC94" t="str">
        <f t="shared" si="22"/>
        <v>Consumer</v>
      </c>
      <c r="AD94">
        <f t="shared" si="14"/>
        <v>114633.48000000001</v>
      </c>
      <c r="AE94">
        <f t="shared" si="15"/>
        <v>5731.6740000000009</v>
      </c>
      <c r="AF94">
        <f t="shared" si="16"/>
        <v>108901.80600000001</v>
      </c>
      <c r="AG94" s="3">
        <f t="shared" si="17"/>
        <v>114917.51600000002</v>
      </c>
      <c r="AH94">
        <f t="shared" si="18"/>
        <v>2</v>
      </c>
    </row>
    <row r="95" spans="1:34" x14ac:dyDescent="0.3">
      <c r="A95">
        <v>94</v>
      </c>
      <c r="B95" t="s">
        <v>437</v>
      </c>
      <c r="C95" s="2">
        <v>45999</v>
      </c>
      <c r="D95" s="2">
        <v>46001</v>
      </c>
      <c r="E95" t="s">
        <v>26</v>
      </c>
      <c r="F95" t="s">
        <v>438</v>
      </c>
      <c r="G95" t="s">
        <v>237</v>
      </c>
      <c r="H95" t="s">
        <v>29</v>
      </c>
      <c r="I95" t="s">
        <v>45</v>
      </c>
      <c r="J95" t="s">
        <v>31</v>
      </c>
      <c r="K95" t="s">
        <v>32</v>
      </c>
      <c r="L95">
        <v>706627</v>
      </c>
      <c r="M95" t="s">
        <v>33</v>
      </c>
      <c r="N95" t="s">
        <v>91</v>
      </c>
      <c r="O95" t="s">
        <v>439</v>
      </c>
      <c r="P95" t="s">
        <v>36</v>
      </c>
      <c r="Q95" t="s">
        <v>130</v>
      </c>
      <c r="R95" s="3">
        <v>20116.27</v>
      </c>
      <c r="S95">
        <v>9</v>
      </c>
      <c r="T95">
        <v>10</v>
      </c>
      <c r="U95" s="3">
        <v>14.43</v>
      </c>
      <c r="V95" s="3">
        <v>11323.3</v>
      </c>
      <c r="W95" t="s">
        <v>38</v>
      </c>
      <c r="X95">
        <v>2025</v>
      </c>
      <c r="Y95" t="s">
        <v>100</v>
      </c>
      <c r="Z95" t="str">
        <f t="shared" si="19"/>
        <v>Apr</v>
      </c>
      <c r="AA95" t="str">
        <f t="shared" si="20"/>
        <v>Tuesday</v>
      </c>
      <c r="AB95" t="str">
        <f t="shared" si="21"/>
        <v>MON</v>
      </c>
      <c r="AC95" t="str">
        <f t="shared" si="22"/>
        <v>Consumer</v>
      </c>
      <c r="AD95">
        <f t="shared" si="14"/>
        <v>181046.43</v>
      </c>
      <c r="AE95">
        <f t="shared" si="15"/>
        <v>18104.643</v>
      </c>
      <c r="AF95">
        <f t="shared" si="16"/>
        <v>162941.78699999998</v>
      </c>
      <c r="AG95" s="3">
        <f t="shared" si="17"/>
        <v>174265.08699999997</v>
      </c>
      <c r="AH95">
        <f t="shared" si="18"/>
        <v>2</v>
      </c>
    </row>
    <row r="96" spans="1:34" x14ac:dyDescent="0.3">
      <c r="A96">
        <v>95</v>
      </c>
      <c r="B96" t="s">
        <v>440</v>
      </c>
      <c r="C96" s="2">
        <v>46003</v>
      </c>
      <c r="D96" s="2">
        <v>46009</v>
      </c>
      <c r="E96" t="s">
        <v>26</v>
      </c>
      <c r="F96" t="s">
        <v>441</v>
      </c>
      <c r="G96" t="s">
        <v>442</v>
      </c>
      <c r="H96" t="s">
        <v>80</v>
      </c>
      <c r="I96" t="s">
        <v>98</v>
      </c>
      <c r="J96" t="s">
        <v>105</v>
      </c>
      <c r="K96" t="s">
        <v>32</v>
      </c>
      <c r="L96">
        <v>486189</v>
      </c>
      <c r="M96" t="s">
        <v>33</v>
      </c>
      <c r="N96" t="s">
        <v>34</v>
      </c>
      <c r="O96" t="s">
        <v>443</v>
      </c>
      <c r="P96" t="s">
        <v>49</v>
      </c>
      <c r="Q96" t="s">
        <v>93</v>
      </c>
      <c r="R96" s="3">
        <v>3348.85</v>
      </c>
      <c r="S96">
        <v>2</v>
      </c>
      <c r="T96">
        <v>5</v>
      </c>
      <c r="U96" s="3">
        <v>28.52</v>
      </c>
      <c r="V96" s="3">
        <v>483.96</v>
      </c>
      <c r="W96" t="s">
        <v>69</v>
      </c>
      <c r="X96">
        <v>2025</v>
      </c>
      <c r="Y96" t="s">
        <v>70</v>
      </c>
      <c r="Z96" t="str">
        <f t="shared" si="19"/>
        <v>Apr</v>
      </c>
      <c r="AA96" t="str">
        <f t="shared" si="20"/>
        <v>Wednesday</v>
      </c>
      <c r="AB96" t="str">
        <f t="shared" si="21"/>
        <v>CH</v>
      </c>
      <c r="AC96" t="str">
        <f t="shared" si="22"/>
        <v>Home Office</v>
      </c>
      <c r="AD96">
        <f t="shared" si="14"/>
        <v>6697.7</v>
      </c>
      <c r="AE96">
        <f t="shared" si="15"/>
        <v>334.88499999999999</v>
      </c>
      <c r="AF96">
        <f t="shared" si="16"/>
        <v>6362.8149999999996</v>
      </c>
      <c r="AG96" s="3">
        <f t="shared" si="17"/>
        <v>6846.7749999999996</v>
      </c>
      <c r="AH96">
        <f t="shared" si="18"/>
        <v>6</v>
      </c>
    </row>
    <row r="97" spans="1:34" x14ac:dyDescent="0.3">
      <c r="A97">
        <v>96</v>
      </c>
      <c r="B97" t="s">
        <v>444</v>
      </c>
      <c r="C97" s="2">
        <v>46007</v>
      </c>
      <c r="D97" s="2">
        <v>46008</v>
      </c>
      <c r="E97" t="s">
        <v>41</v>
      </c>
      <c r="F97" t="s">
        <v>445</v>
      </c>
      <c r="G97" t="s">
        <v>446</v>
      </c>
      <c r="H97" t="s">
        <v>29</v>
      </c>
      <c r="I97" t="s">
        <v>98</v>
      </c>
      <c r="J97" t="s">
        <v>56</v>
      </c>
      <c r="K97" t="s">
        <v>32</v>
      </c>
      <c r="L97">
        <v>404749</v>
      </c>
      <c r="M97" t="s">
        <v>33</v>
      </c>
      <c r="N97" t="s">
        <v>91</v>
      </c>
      <c r="O97" t="s">
        <v>447</v>
      </c>
      <c r="P97" t="s">
        <v>135</v>
      </c>
      <c r="Q97" t="s">
        <v>68</v>
      </c>
      <c r="R97" s="3">
        <v>1131.5899999999999</v>
      </c>
      <c r="S97">
        <v>1</v>
      </c>
      <c r="T97">
        <v>5</v>
      </c>
      <c r="U97" s="3">
        <v>24.16</v>
      </c>
      <c r="V97" s="3">
        <v>71.12</v>
      </c>
      <c r="W97" t="s">
        <v>94</v>
      </c>
      <c r="X97">
        <v>2025</v>
      </c>
      <c r="Y97" t="s">
        <v>76</v>
      </c>
      <c r="Z97" t="str">
        <f t="shared" si="19"/>
        <v>Apr</v>
      </c>
      <c r="AA97" t="str">
        <f t="shared" si="20"/>
        <v>Thursday</v>
      </c>
      <c r="AB97" t="str">
        <f t="shared" si="21"/>
        <v>ART</v>
      </c>
      <c r="AC97" t="str">
        <f t="shared" si="22"/>
        <v>Consumer</v>
      </c>
      <c r="AD97">
        <f t="shared" si="14"/>
        <v>1131.5899999999999</v>
      </c>
      <c r="AE97">
        <f t="shared" si="15"/>
        <v>56.579499999999996</v>
      </c>
      <c r="AF97">
        <f t="shared" si="16"/>
        <v>1075.0104999999999</v>
      </c>
      <c r="AG97" s="3">
        <f t="shared" si="17"/>
        <v>1146.1304999999998</v>
      </c>
      <c r="AH97">
        <f t="shared" si="18"/>
        <v>1</v>
      </c>
    </row>
    <row r="98" spans="1:34" x14ac:dyDescent="0.3">
      <c r="A98">
        <v>97</v>
      </c>
      <c r="B98" t="s">
        <v>448</v>
      </c>
      <c r="C98" s="2">
        <v>46010</v>
      </c>
      <c r="D98" s="2">
        <v>46014</v>
      </c>
      <c r="E98" t="s">
        <v>41</v>
      </c>
      <c r="F98" t="s">
        <v>449</v>
      </c>
      <c r="G98" t="s">
        <v>376</v>
      </c>
      <c r="H98" t="s">
        <v>80</v>
      </c>
      <c r="I98" t="s">
        <v>30</v>
      </c>
      <c r="J98" t="s">
        <v>90</v>
      </c>
      <c r="K98" t="s">
        <v>32</v>
      </c>
      <c r="L98">
        <v>617842</v>
      </c>
      <c r="M98" t="s">
        <v>33</v>
      </c>
      <c r="N98" t="s">
        <v>47</v>
      </c>
      <c r="O98" t="s">
        <v>450</v>
      </c>
      <c r="P98" t="s">
        <v>36</v>
      </c>
      <c r="Q98" t="s">
        <v>37</v>
      </c>
      <c r="R98" s="3">
        <v>6796.77</v>
      </c>
      <c r="S98">
        <v>10</v>
      </c>
      <c r="T98">
        <v>25</v>
      </c>
      <c r="U98" s="3">
        <v>12.3</v>
      </c>
      <c r="V98" s="3">
        <v>4628.8500000000004</v>
      </c>
      <c r="W98" t="s">
        <v>85</v>
      </c>
      <c r="X98">
        <v>2025</v>
      </c>
      <c r="Y98" t="s">
        <v>76</v>
      </c>
      <c r="Z98" t="str">
        <f t="shared" si="19"/>
        <v>Apr</v>
      </c>
      <c r="AA98" t="str">
        <f t="shared" si="20"/>
        <v>Friday</v>
      </c>
      <c r="AB98" t="str">
        <f t="shared" si="21"/>
        <v>MON</v>
      </c>
      <c r="AC98" t="str">
        <f t="shared" si="22"/>
        <v>Home Office</v>
      </c>
      <c r="AD98">
        <f t="shared" si="14"/>
        <v>67967.700000000012</v>
      </c>
      <c r="AE98">
        <f t="shared" ref="AE98:AE101" si="23">AD98*(T98/100)</f>
        <v>16991.925000000003</v>
      </c>
      <c r="AF98">
        <f t="shared" ref="AF98:AF101" si="24">AD98-AE98</f>
        <v>50975.775000000009</v>
      </c>
      <c r="AG98" s="3">
        <f t="shared" ref="AG98:AG101" si="25">AF98+V98</f>
        <v>55604.625000000007</v>
      </c>
      <c r="AH98">
        <f t="shared" si="18"/>
        <v>4</v>
      </c>
    </row>
    <row r="99" spans="1:34" x14ac:dyDescent="0.3">
      <c r="A99">
        <v>98</v>
      </c>
      <c r="B99" t="s">
        <v>451</v>
      </c>
      <c r="C99" s="2">
        <v>46014</v>
      </c>
      <c r="D99" s="2">
        <v>46016</v>
      </c>
      <c r="E99" t="s">
        <v>62</v>
      </c>
      <c r="F99" t="s">
        <v>452</v>
      </c>
      <c r="G99" t="s">
        <v>453</v>
      </c>
      <c r="H99" t="s">
        <v>44</v>
      </c>
      <c r="I99" t="s">
        <v>65</v>
      </c>
      <c r="J99" t="s">
        <v>46</v>
      </c>
      <c r="K99" t="s">
        <v>32</v>
      </c>
      <c r="L99">
        <v>540508</v>
      </c>
      <c r="M99" t="s">
        <v>33</v>
      </c>
      <c r="N99" t="s">
        <v>34</v>
      </c>
      <c r="O99" t="s">
        <v>454</v>
      </c>
      <c r="P99" t="s">
        <v>58</v>
      </c>
      <c r="Q99" t="s">
        <v>130</v>
      </c>
      <c r="R99" s="3">
        <v>17620.38</v>
      </c>
      <c r="S99">
        <v>2</v>
      </c>
      <c r="T99">
        <v>0</v>
      </c>
      <c r="U99" s="3">
        <v>3.68</v>
      </c>
      <c r="V99" s="3">
        <v>1422.56</v>
      </c>
      <c r="W99" t="s">
        <v>94</v>
      </c>
      <c r="X99">
        <v>2025</v>
      </c>
      <c r="Y99" t="s">
        <v>70</v>
      </c>
      <c r="Z99" t="str">
        <f t="shared" si="19"/>
        <v>Apr</v>
      </c>
      <c r="AA99" t="str">
        <f t="shared" si="20"/>
        <v>Saturday</v>
      </c>
      <c r="AB99" t="str">
        <f t="shared" si="21"/>
        <v>MSW</v>
      </c>
      <c r="AC99" t="str">
        <f t="shared" si="22"/>
        <v>Corporate</v>
      </c>
      <c r="AD99">
        <f t="shared" si="14"/>
        <v>35240.76</v>
      </c>
      <c r="AE99">
        <f t="shared" si="23"/>
        <v>0</v>
      </c>
      <c r="AF99">
        <f t="shared" si="24"/>
        <v>35240.76</v>
      </c>
      <c r="AG99" s="3">
        <f t="shared" si="25"/>
        <v>36663.32</v>
      </c>
      <c r="AH99">
        <f t="shared" si="18"/>
        <v>2</v>
      </c>
    </row>
    <row r="100" spans="1:34" x14ac:dyDescent="0.3">
      <c r="A100">
        <v>99</v>
      </c>
      <c r="B100" t="s">
        <v>455</v>
      </c>
      <c r="C100" s="2">
        <v>46018</v>
      </c>
      <c r="D100" s="2">
        <v>46024</v>
      </c>
      <c r="E100" t="s">
        <v>26</v>
      </c>
      <c r="F100" t="s">
        <v>456</v>
      </c>
      <c r="G100" t="s">
        <v>336</v>
      </c>
      <c r="H100" t="s">
        <v>29</v>
      </c>
      <c r="I100" t="s">
        <v>81</v>
      </c>
      <c r="J100" t="s">
        <v>81</v>
      </c>
      <c r="K100" t="s">
        <v>32</v>
      </c>
      <c r="L100">
        <v>665854</v>
      </c>
      <c r="M100" t="s">
        <v>33</v>
      </c>
      <c r="N100" t="s">
        <v>91</v>
      </c>
      <c r="O100" t="s">
        <v>457</v>
      </c>
      <c r="P100" t="s">
        <v>36</v>
      </c>
      <c r="Q100" t="s">
        <v>146</v>
      </c>
      <c r="R100" s="3">
        <v>12228.19</v>
      </c>
      <c r="S100">
        <v>7</v>
      </c>
      <c r="T100">
        <v>10</v>
      </c>
      <c r="U100" s="3">
        <v>39.86</v>
      </c>
      <c r="V100" s="3">
        <v>5896.76</v>
      </c>
      <c r="W100" t="s">
        <v>38</v>
      </c>
      <c r="X100">
        <v>2025</v>
      </c>
      <c r="Y100" t="s">
        <v>86</v>
      </c>
      <c r="Z100" t="str">
        <f t="shared" si="19"/>
        <v>Apr</v>
      </c>
      <c r="AA100" t="str">
        <f t="shared" si="20"/>
        <v>Sunday</v>
      </c>
      <c r="AB100" t="str">
        <f t="shared" si="21"/>
        <v>MON</v>
      </c>
      <c r="AC100" t="str">
        <f t="shared" si="22"/>
        <v>Consumer</v>
      </c>
      <c r="AD100">
        <f t="shared" si="14"/>
        <v>85597.33</v>
      </c>
      <c r="AE100">
        <f t="shared" si="23"/>
        <v>8559.7330000000002</v>
      </c>
      <c r="AF100">
        <f t="shared" si="24"/>
        <v>77037.597000000009</v>
      </c>
      <c r="AG100" s="3">
        <f t="shared" si="25"/>
        <v>82934.357000000004</v>
      </c>
      <c r="AH100">
        <f t="shared" si="18"/>
        <v>6</v>
      </c>
    </row>
    <row r="101" spans="1:34" x14ac:dyDescent="0.3">
      <c r="A101">
        <v>100</v>
      </c>
      <c r="B101" t="s">
        <v>458</v>
      </c>
      <c r="C101" s="2">
        <v>46022</v>
      </c>
      <c r="D101" s="2">
        <v>46028</v>
      </c>
      <c r="E101" t="s">
        <v>41</v>
      </c>
      <c r="F101" t="s">
        <v>459</v>
      </c>
      <c r="G101" t="s">
        <v>380</v>
      </c>
      <c r="H101" t="s">
        <v>44</v>
      </c>
      <c r="I101" t="s">
        <v>30</v>
      </c>
      <c r="J101" t="s">
        <v>56</v>
      </c>
      <c r="K101" t="s">
        <v>32</v>
      </c>
      <c r="L101">
        <v>523962</v>
      </c>
      <c r="M101" t="s">
        <v>33</v>
      </c>
      <c r="N101" t="s">
        <v>66</v>
      </c>
      <c r="O101" t="s">
        <v>460</v>
      </c>
      <c r="P101" t="s">
        <v>49</v>
      </c>
      <c r="Q101" t="s">
        <v>68</v>
      </c>
      <c r="R101" s="3">
        <v>1092.3399999999999</v>
      </c>
      <c r="S101">
        <v>3</v>
      </c>
      <c r="T101">
        <v>10</v>
      </c>
      <c r="U101" s="3">
        <v>11.31</v>
      </c>
      <c r="V101" s="3">
        <v>81.290000000000006</v>
      </c>
      <c r="W101" t="s">
        <v>85</v>
      </c>
      <c r="X101">
        <v>2025</v>
      </c>
      <c r="Y101" t="s">
        <v>167</v>
      </c>
      <c r="Z101" t="str">
        <f t="shared" si="19"/>
        <v>Apr</v>
      </c>
      <c r="AA101" t="str">
        <f t="shared" si="20"/>
        <v>Monday</v>
      </c>
      <c r="AB101" t="str">
        <f t="shared" si="21"/>
        <v>CH</v>
      </c>
      <c r="AC101" t="str">
        <f t="shared" si="22"/>
        <v>Corporate</v>
      </c>
      <c r="AD101">
        <f t="shared" si="14"/>
        <v>3277.0199999999995</v>
      </c>
      <c r="AE101">
        <f t="shared" si="23"/>
        <v>327.702</v>
      </c>
      <c r="AF101">
        <f t="shared" si="24"/>
        <v>2949.3179999999993</v>
      </c>
      <c r="AG101" s="3">
        <f t="shared" si="25"/>
        <v>3030.6079999999993</v>
      </c>
      <c r="AH101">
        <f t="shared" si="18"/>
        <v>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09062-8AE2-482F-ABF0-B8E45E785EA8}">
  <dimension ref="C2:M12"/>
  <sheetViews>
    <sheetView workbookViewId="0">
      <selection activeCell="D11" sqref="D11"/>
    </sheetView>
  </sheetViews>
  <sheetFormatPr defaultRowHeight="14.4" x14ac:dyDescent="0.3"/>
  <cols>
    <col min="3" max="3" width="32.21875" customWidth="1"/>
    <col min="4" max="4" width="11.88671875" bestFit="1" customWidth="1"/>
    <col min="10" max="10" width="47" customWidth="1"/>
    <col min="11" max="11" width="22.21875" customWidth="1"/>
  </cols>
  <sheetData>
    <row r="2" spans="3:13" x14ac:dyDescent="0.3">
      <c r="C2" s="6" t="s">
        <v>470</v>
      </c>
      <c r="D2" s="6" t="s">
        <v>472</v>
      </c>
      <c r="E2" s="6" t="s">
        <v>471</v>
      </c>
      <c r="J2" s="6" t="s">
        <v>480</v>
      </c>
    </row>
    <row r="3" spans="3:13" x14ac:dyDescent="0.3">
      <c r="L3" s="6" t="s">
        <v>472</v>
      </c>
      <c r="M3" s="6" t="s">
        <v>471</v>
      </c>
    </row>
    <row r="4" spans="3:13" x14ac:dyDescent="0.3">
      <c r="C4" t="s">
        <v>512</v>
      </c>
      <c r="D4">
        <f>COUNTA(Table1[Order ID])</f>
        <v>100</v>
      </c>
      <c r="E4" t="str">
        <f ca="1">_xlfn.FORMULATEXT(D4)</f>
        <v>=COUNTA(Table1[Order ID])</v>
      </c>
      <c r="J4" t="s">
        <v>473</v>
      </c>
      <c r="K4" s="6" t="s">
        <v>477</v>
      </c>
      <c r="L4">
        <f>COUNTIF(Table1[Payment_Mode],"UPI")</f>
        <v>8</v>
      </c>
      <c r="M4" t="str">
        <f ca="1">_xlfn.FORMULATEXT(L4)</f>
        <v>=COUNTIF(Table1[Payment_Mode],"UPI")</v>
      </c>
    </row>
    <row r="5" spans="3:13" x14ac:dyDescent="0.3">
      <c r="C5" t="s">
        <v>465</v>
      </c>
      <c r="D5">
        <f>AVERAGE(Table1[Unit_Price])</f>
        <v>11890.245599999998</v>
      </c>
      <c r="E5" t="str">
        <f t="shared" ref="E5:E9" ca="1" si="0">_xlfn.FORMULATEXT(D5)</f>
        <v>=AVERAGE(Table1[Unit_Price])</v>
      </c>
      <c r="J5" t="s">
        <v>474</v>
      </c>
      <c r="K5" s="6" t="s">
        <v>478</v>
      </c>
      <c r="L5">
        <f>SUMIF(Table1[Unit_Price],"&gt;10000",Table1[Quantity])</f>
        <v>219</v>
      </c>
      <c r="M5" t="str">
        <f t="shared" ref="M5:M7" ca="1" si="1">_xlfn.FORMULATEXT(L5)</f>
        <v>=SUMIF(Table1[Unit_Price],"&gt;10000",Table1[Quantity])</v>
      </c>
    </row>
    <row r="6" spans="3:13" x14ac:dyDescent="0.3">
      <c r="C6" t="s">
        <v>466</v>
      </c>
      <c r="D6">
        <f>SUM(Table1[Quantity])</f>
        <v>618</v>
      </c>
      <c r="E6" t="str">
        <f t="shared" ca="1" si="0"/>
        <v>=SUM(Table1[Quantity])</v>
      </c>
      <c r="J6" t="s">
        <v>475</v>
      </c>
      <c r="K6" s="6" t="s">
        <v>479</v>
      </c>
      <c r="L6">
        <f>AVERAGEIF(Table1[Category_Encoded],"TEC::*",Table1[Profit])</f>
        <v>16.241860465116272</v>
      </c>
      <c r="M6" t="str">
        <f t="shared" ca="1" si="1"/>
        <v>=AVERAGEIF(Table1[Category_Encoded],"TEC::*",Table1[Profit])</v>
      </c>
    </row>
    <row r="7" spans="3:13" x14ac:dyDescent="0.3">
      <c r="C7" t="s">
        <v>467</v>
      </c>
      <c r="D7" s="19">
        <f>AVERAGE(Table1[Profit])</f>
        <v>16.891499999999997</v>
      </c>
      <c r="E7" t="str">
        <f t="shared" ca="1" si="0"/>
        <v>=AVERAGE(Table1[Profit])</v>
      </c>
      <c r="J7" t="s">
        <v>476</v>
      </c>
      <c r="K7" s="6" t="s">
        <v>13</v>
      </c>
      <c r="L7">
        <f>SUMIFS(Table1[Shipping Cost],Table1[Region],"North",Table1[Ship Mode],"Standard Class")</f>
        <v>1356.5700000000002</v>
      </c>
      <c r="M7" t="str">
        <f t="shared" ca="1" si="1"/>
        <v>=SUMIFS(Table1[Shipping Cost],Table1[Region],"North",Table1[Ship Mode],"Standard Class")</v>
      </c>
    </row>
    <row r="8" spans="3:13" x14ac:dyDescent="0.3">
      <c r="C8" t="s">
        <v>468</v>
      </c>
      <c r="D8">
        <f>MIN(Table1[Shipping Cost])</f>
        <v>29.86</v>
      </c>
      <c r="E8" t="str">
        <f t="shared" ca="1" si="0"/>
        <v>=MIN(Table1[Shipping Cost])</v>
      </c>
    </row>
    <row r="9" spans="3:13" x14ac:dyDescent="0.3">
      <c r="C9" t="s">
        <v>469</v>
      </c>
      <c r="D9">
        <f>MAX(Table1[Shipping Cost])</f>
        <v>41691.120000000003</v>
      </c>
      <c r="E9" t="str">
        <f t="shared" ca="1" si="0"/>
        <v>=MAX(Table1[Shipping Cost])</v>
      </c>
    </row>
    <row r="10" spans="3:13" x14ac:dyDescent="0.3">
      <c r="C10" t="s">
        <v>511</v>
      </c>
      <c r="D10" s="20">
        <f>SUM(Table1[Net Revenue])</f>
        <v>6177861.8349999972</v>
      </c>
    </row>
    <row r="11" spans="3:13" x14ac:dyDescent="0.3">
      <c r="C11" t="s">
        <v>513</v>
      </c>
      <c r="D11" s="20">
        <f>SUM(Table1[Shipping Cost])</f>
        <v>377122.93999999994</v>
      </c>
    </row>
    <row r="12" spans="3:13" x14ac:dyDescent="0.3">
      <c r="J12"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B3270-F765-4CC6-8153-4C95855C06B2}">
  <dimension ref="A1:C18"/>
  <sheetViews>
    <sheetView workbookViewId="0">
      <selection activeCell="A3" sqref="A3"/>
    </sheetView>
  </sheetViews>
  <sheetFormatPr defaultRowHeight="14.4" x14ac:dyDescent="0.3"/>
  <sheetData>
    <row r="1" spans="1:3" x14ac:dyDescent="0.3">
      <c r="A1" s="8"/>
      <c r="B1" s="9"/>
      <c r="C1" s="10"/>
    </row>
    <row r="2" spans="1:3" x14ac:dyDescent="0.3">
      <c r="A2" s="11"/>
      <c r="B2" s="12"/>
      <c r="C2" s="13"/>
    </row>
    <row r="3" spans="1:3" x14ac:dyDescent="0.3">
      <c r="A3" s="11"/>
      <c r="B3" s="12"/>
      <c r="C3" s="13"/>
    </row>
    <row r="4" spans="1:3" x14ac:dyDescent="0.3">
      <c r="A4" s="11"/>
      <c r="B4" s="12"/>
      <c r="C4" s="13"/>
    </row>
    <row r="5" spans="1:3" x14ac:dyDescent="0.3">
      <c r="A5" s="11"/>
      <c r="B5" s="12"/>
      <c r="C5" s="13"/>
    </row>
    <row r="6" spans="1:3" x14ac:dyDescent="0.3">
      <c r="A6" s="11"/>
      <c r="B6" s="12"/>
      <c r="C6" s="13"/>
    </row>
    <row r="7" spans="1:3" x14ac:dyDescent="0.3">
      <c r="A7" s="11"/>
      <c r="B7" s="12"/>
      <c r="C7" s="13"/>
    </row>
    <row r="8" spans="1:3" x14ac:dyDescent="0.3">
      <c r="A8" s="11"/>
      <c r="B8" s="12"/>
      <c r="C8" s="13"/>
    </row>
    <row r="9" spans="1:3" x14ac:dyDescent="0.3">
      <c r="A9" s="11"/>
      <c r="B9" s="12"/>
      <c r="C9" s="13"/>
    </row>
    <row r="10" spans="1:3" x14ac:dyDescent="0.3">
      <c r="A10" s="11"/>
      <c r="B10" s="12"/>
      <c r="C10" s="13"/>
    </row>
    <row r="11" spans="1:3" x14ac:dyDescent="0.3">
      <c r="A11" s="11"/>
      <c r="B11" s="12"/>
      <c r="C11" s="13"/>
    </row>
    <row r="12" spans="1:3" x14ac:dyDescent="0.3">
      <c r="A12" s="11"/>
      <c r="B12" s="12"/>
      <c r="C12" s="13"/>
    </row>
    <row r="13" spans="1:3" x14ac:dyDescent="0.3">
      <c r="A13" s="11"/>
      <c r="B13" s="12"/>
      <c r="C13" s="13"/>
    </row>
    <row r="14" spans="1:3" x14ac:dyDescent="0.3">
      <c r="A14" s="11"/>
      <c r="B14" s="12"/>
      <c r="C14" s="13"/>
    </row>
    <row r="15" spans="1:3" x14ac:dyDescent="0.3">
      <c r="A15" s="11"/>
      <c r="B15" s="12"/>
      <c r="C15" s="13"/>
    </row>
    <row r="16" spans="1:3" x14ac:dyDescent="0.3">
      <c r="A16" s="11"/>
      <c r="B16" s="12"/>
      <c r="C16" s="13"/>
    </row>
    <row r="17" spans="1:3" x14ac:dyDescent="0.3">
      <c r="A17" s="11"/>
      <c r="B17" s="12"/>
      <c r="C17" s="13"/>
    </row>
    <row r="18" spans="1:3" x14ac:dyDescent="0.3">
      <c r="A18" s="14"/>
      <c r="B18" s="15"/>
      <c r="C18" s="1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E3401-B365-4858-9A9B-3666104BBF9C}">
  <dimension ref="P8"/>
  <sheetViews>
    <sheetView showGridLines="0" tabSelected="1" zoomScale="70" zoomScaleNormal="70" workbookViewId="0">
      <selection activeCell="P8" sqref="P8"/>
    </sheetView>
  </sheetViews>
  <sheetFormatPr defaultRowHeight="14.4" x14ac:dyDescent="0.3"/>
  <sheetData>
    <row r="8" spans="16:16" x14ac:dyDescent="0.3">
      <c r="P8"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6EF95-9DA4-48A5-914F-223BD71E80C0}">
  <dimension ref="A1:E9"/>
  <sheetViews>
    <sheetView workbookViewId="0">
      <selection activeCell="D2" sqref="D2:E8"/>
    </sheetView>
  </sheetViews>
  <sheetFormatPr defaultRowHeight="14.4" x14ac:dyDescent="0.3"/>
  <cols>
    <col min="1" max="1" width="12.5546875" bestFit="1" customWidth="1"/>
    <col min="2" max="2" width="18.44140625" bestFit="1" customWidth="1"/>
    <col min="4" max="4" width="14.33203125" customWidth="1"/>
    <col min="5" max="5" width="12.21875" customWidth="1"/>
  </cols>
  <sheetData>
    <row r="1" spans="1:5" x14ac:dyDescent="0.3">
      <c r="A1" s="17" t="s">
        <v>486</v>
      </c>
      <c r="B1" t="s">
        <v>488</v>
      </c>
      <c r="D1" s="21" t="s">
        <v>9</v>
      </c>
      <c r="E1" s="21" t="s">
        <v>483</v>
      </c>
    </row>
    <row r="2" spans="1:5" x14ac:dyDescent="0.3">
      <c r="A2" s="18" t="s">
        <v>81</v>
      </c>
      <c r="B2" s="22">
        <v>1279501.5035000001</v>
      </c>
      <c r="D2" s="18" t="s">
        <v>81</v>
      </c>
      <c r="E2">
        <v>1279501.5035000001</v>
      </c>
    </row>
    <row r="3" spans="1:5" x14ac:dyDescent="0.3">
      <c r="A3" s="18" t="s">
        <v>31</v>
      </c>
      <c r="B3" s="22">
        <v>634602.77850000001</v>
      </c>
      <c r="D3" s="18" t="s">
        <v>31</v>
      </c>
      <c r="E3">
        <v>634602.77850000001</v>
      </c>
    </row>
    <row r="4" spans="1:5" x14ac:dyDescent="0.3">
      <c r="A4" s="18" t="s">
        <v>90</v>
      </c>
      <c r="B4" s="22">
        <v>110381.54399999999</v>
      </c>
      <c r="D4" s="18" t="s">
        <v>90</v>
      </c>
      <c r="E4">
        <v>110381.54399999999</v>
      </c>
    </row>
    <row r="5" spans="1:5" x14ac:dyDescent="0.3">
      <c r="A5" s="18" t="s">
        <v>56</v>
      </c>
      <c r="B5" s="22">
        <v>948553.99399999995</v>
      </c>
      <c r="D5" s="18" t="s">
        <v>56</v>
      </c>
      <c r="E5">
        <v>948553.99399999995</v>
      </c>
    </row>
    <row r="6" spans="1:5" x14ac:dyDescent="0.3">
      <c r="A6" s="18" t="s">
        <v>82</v>
      </c>
      <c r="B6" s="22">
        <v>494069.44049999997</v>
      </c>
      <c r="D6" s="18" t="s">
        <v>82</v>
      </c>
      <c r="E6">
        <v>494069.44049999997</v>
      </c>
    </row>
    <row r="7" spans="1:5" x14ac:dyDescent="0.3">
      <c r="A7" s="18" t="s">
        <v>46</v>
      </c>
      <c r="B7" s="22">
        <v>1263468.5989999997</v>
      </c>
      <c r="D7" s="18" t="s">
        <v>46</v>
      </c>
      <c r="E7">
        <v>1263468.5989999997</v>
      </c>
    </row>
    <row r="8" spans="1:5" x14ac:dyDescent="0.3">
      <c r="A8" s="18" t="s">
        <v>105</v>
      </c>
      <c r="B8" s="22">
        <v>1447283.9754999999</v>
      </c>
      <c r="D8" s="18" t="s">
        <v>105</v>
      </c>
      <c r="E8">
        <v>1447283.9754999999</v>
      </c>
    </row>
    <row r="9" spans="1:5" x14ac:dyDescent="0.3">
      <c r="A9" s="18" t="s">
        <v>487</v>
      </c>
      <c r="B9" s="22">
        <v>6177861.835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5594E-806F-4014-BAA3-A9692D12AFDF}">
  <dimension ref="A1:C10"/>
  <sheetViews>
    <sheetView workbookViewId="0">
      <selection activeCell="L24" sqref="L24"/>
    </sheetView>
  </sheetViews>
  <sheetFormatPr defaultRowHeight="14.4" x14ac:dyDescent="0.3"/>
  <cols>
    <col min="1" max="1" width="13.33203125" bestFit="1" customWidth="1"/>
    <col min="2" max="2" width="18.44140625" bestFit="1" customWidth="1"/>
    <col min="3" max="3" width="15.33203125" bestFit="1" customWidth="1"/>
  </cols>
  <sheetData>
    <row r="1" spans="1:3" x14ac:dyDescent="0.3">
      <c r="A1" s="17" t="s">
        <v>486</v>
      </c>
      <c r="B1" t="s">
        <v>488</v>
      </c>
      <c r="C1" t="s">
        <v>489</v>
      </c>
    </row>
    <row r="2" spans="1:3" x14ac:dyDescent="0.3">
      <c r="A2" s="18" t="s">
        <v>51</v>
      </c>
      <c r="B2" s="22">
        <v>384776.761</v>
      </c>
      <c r="C2" s="3">
        <v>15.889999999999999</v>
      </c>
    </row>
    <row r="3" spans="1:3" x14ac:dyDescent="0.3">
      <c r="A3" s="18" t="s">
        <v>86</v>
      </c>
      <c r="B3" s="22">
        <v>1208158.7990000001</v>
      </c>
      <c r="C3" s="3">
        <v>15.180000000000001</v>
      </c>
    </row>
    <row r="4" spans="1:3" x14ac:dyDescent="0.3">
      <c r="A4" s="18" t="s">
        <v>70</v>
      </c>
      <c r="B4" s="22">
        <v>718440.62099999993</v>
      </c>
      <c r="C4" s="3">
        <v>13.671250000000001</v>
      </c>
    </row>
    <row r="5" spans="1:3" x14ac:dyDescent="0.3">
      <c r="A5" s="18" t="s">
        <v>76</v>
      </c>
      <c r="B5" s="22">
        <v>238732.30550000002</v>
      </c>
      <c r="C5" s="3">
        <v>16.167857142857144</v>
      </c>
    </row>
    <row r="6" spans="1:3" x14ac:dyDescent="0.3">
      <c r="A6" s="18" t="s">
        <v>100</v>
      </c>
      <c r="B6" s="22">
        <v>893121.03600000008</v>
      </c>
      <c r="C6" s="3">
        <v>16.130833333333332</v>
      </c>
    </row>
    <row r="7" spans="1:3" x14ac:dyDescent="0.3">
      <c r="A7" s="18" t="s">
        <v>167</v>
      </c>
      <c r="B7" s="22">
        <v>861264.1129999999</v>
      </c>
      <c r="C7" s="3">
        <v>17.24923076923077</v>
      </c>
    </row>
    <row r="8" spans="1:3" x14ac:dyDescent="0.3">
      <c r="A8" s="18" t="s">
        <v>39</v>
      </c>
      <c r="B8" s="22">
        <v>1375630.2544999998</v>
      </c>
      <c r="C8" s="3">
        <v>22.05294117647059</v>
      </c>
    </row>
    <row r="9" spans="1:3" x14ac:dyDescent="0.3">
      <c r="A9" s="18" t="s">
        <v>60</v>
      </c>
      <c r="B9" s="22">
        <v>497737.94500000001</v>
      </c>
      <c r="C9" s="3">
        <v>17.669999999999998</v>
      </c>
    </row>
    <row r="10" spans="1:3" x14ac:dyDescent="0.3">
      <c r="A10" s="18" t="s">
        <v>487</v>
      </c>
      <c r="B10" s="22">
        <v>6177861.834999999</v>
      </c>
      <c r="C10" s="3">
        <v>16.891499999999994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5C945-FE92-4694-BEA3-140FCE19F21D}">
  <dimension ref="A1:C7"/>
  <sheetViews>
    <sheetView workbookViewId="0"/>
  </sheetViews>
  <sheetFormatPr defaultRowHeight="14.4" x14ac:dyDescent="0.3"/>
  <cols>
    <col min="1" max="1" width="12.5546875" bestFit="1" customWidth="1"/>
    <col min="2" max="2" width="20.77734375" bestFit="1" customWidth="1"/>
    <col min="3" max="3" width="14.88671875" bestFit="1" customWidth="1"/>
  </cols>
  <sheetData>
    <row r="1" spans="1:3" x14ac:dyDescent="0.3">
      <c r="A1" s="17" t="s">
        <v>486</v>
      </c>
      <c r="B1" t="s">
        <v>490</v>
      </c>
      <c r="C1" t="s">
        <v>491</v>
      </c>
    </row>
    <row r="2" spans="1:3" x14ac:dyDescent="0.3">
      <c r="A2" s="18" t="s">
        <v>34</v>
      </c>
      <c r="B2" s="22">
        <v>22</v>
      </c>
      <c r="C2" s="22">
        <v>124</v>
      </c>
    </row>
    <row r="3" spans="1:3" x14ac:dyDescent="0.3">
      <c r="A3" s="18" t="s">
        <v>66</v>
      </c>
      <c r="B3" s="22">
        <v>15</v>
      </c>
      <c r="C3" s="22">
        <v>106</v>
      </c>
    </row>
    <row r="4" spans="1:3" x14ac:dyDescent="0.3">
      <c r="A4" s="18" t="s">
        <v>47</v>
      </c>
      <c r="B4" s="22">
        <v>20</v>
      </c>
      <c r="C4" s="22">
        <v>94</v>
      </c>
    </row>
    <row r="5" spans="1:3" x14ac:dyDescent="0.3">
      <c r="A5" s="18" t="s">
        <v>91</v>
      </c>
      <c r="B5" s="22">
        <v>19</v>
      </c>
      <c r="C5" s="22">
        <v>132</v>
      </c>
    </row>
    <row r="6" spans="1:3" x14ac:dyDescent="0.3">
      <c r="A6" s="18" t="s">
        <v>74</v>
      </c>
      <c r="B6" s="22">
        <v>24</v>
      </c>
      <c r="C6" s="22">
        <v>162</v>
      </c>
    </row>
    <row r="7" spans="1:3" x14ac:dyDescent="0.3">
      <c r="A7" s="18" t="s">
        <v>487</v>
      </c>
      <c r="B7" s="22" t="e">
        <v>#VALUE!</v>
      </c>
      <c r="C7" s="22">
        <v>618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9532D-74F2-4C0A-858F-657AE3176BF3}">
  <dimension ref="A1:C5"/>
  <sheetViews>
    <sheetView workbookViewId="0"/>
  </sheetViews>
  <sheetFormatPr defaultRowHeight="14.4" x14ac:dyDescent="0.3"/>
  <cols>
    <col min="1" max="1" width="12.5546875" bestFit="1" customWidth="1"/>
    <col min="2" max="2" width="20.33203125" bestFit="1" customWidth="1"/>
    <col min="3" max="3" width="14.5546875" bestFit="1" customWidth="1"/>
  </cols>
  <sheetData>
    <row r="1" spans="1:3" x14ac:dyDescent="0.3">
      <c r="A1" s="17" t="s">
        <v>486</v>
      </c>
      <c r="B1" t="s">
        <v>492</v>
      </c>
      <c r="C1" t="s">
        <v>493</v>
      </c>
    </row>
    <row r="2" spans="1:3" x14ac:dyDescent="0.3">
      <c r="A2" s="18" t="s">
        <v>29</v>
      </c>
      <c r="B2" s="22">
        <v>38</v>
      </c>
      <c r="C2" s="22">
        <v>0</v>
      </c>
    </row>
    <row r="3" spans="1:3" x14ac:dyDescent="0.3">
      <c r="A3" s="18" t="s">
        <v>44</v>
      </c>
      <c r="B3" s="22">
        <v>35</v>
      </c>
      <c r="C3" s="22">
        <v>0</v>
      </c>
    </row>
    <row r="4" spans="1:3" x14ac:dyDescent="0.3">
      <c r="A4" s="18" t="s">
        <v>80</v>
      </c>
      <c r="B4" s="22">
        <v>27</v>
      </c>
      <c r="C4" s="22">
        <v>0</v>
      </c>
    </row>
    <row r="5" spans="1:3" x14ac:dyDescent="0.3">
      <c r="A5" s="18" t="s">
        <v>487</v>
      </c>
      <c r="B5" s="22">
        <v>100</v>
      </c>
      <c r="C5" s="2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BD756-86DD-4A4E-B75F-B66CEBB86618}">
  <dimension ref="A1:C6"/>
  <sheetViews>
    <sheetView workbookViewId="0">
      <selection activeCell="B2" sqref="B2"/>
    </sheetView>
  </sheetViews>
  <sheetFormatPr defaultRowHeight="14.4" x14ac:dyDescent="0.3"/>
  <cols>
    <col min="1" max="1" width="10.77734375" bestFit="1" customWidth="1"/>
    <col min="2" max="2" width="18.44140625" bestFit="1" customWidth="1"/>
    <col min="3" max="3" width="14.88671875" bestFit="1" customWidth="1"/>
  </cols>
  <sheetData>
    <row r="1" spans="1:3" x14ac:dyDescent="0.3">
      <c r="A1" s="17" t="s">
        <v>498</v>
      </c>
      <c r="B1" t="s">
        <v>488</v>
      </c>
      <c r="C1" t="s">
        <v>491</v>
      </c>
    </row>
    <row r="2" spans="1:3" x14ac:dyDescent="0.3">
      <c r="A2" s="18" t="s">
        <v>494</v>
      </c>
      <c r="B2" s="22">
        <v>1737952.584</v>
      </c>
      <c r="C2" s="22">
        <v>188</v>
      </c>
    </row>
    <row r="3" spans="1:3" x14ac:dyDescent="0.3">
      <c r="A3" s="18" t="s">
        <v>495</v>
      </c>
      <c r="B3" s="22">
        <v>2094609.9324999996</v>
      </c>
      <c r="C3" s="22">
        <v>200</v>
      </c>
    </row>
    <row r="4" spans="1:3" x14ac:dyDescent="0.3">
      <c r="A4" s="18" t="s">
        <v>496</v>
      </c>
      <c r="B4" s="22">
        <v>1738590.4300000002</v>
      </c>
      <c r="C4" s="22">
        <v>186</v>
      </c>
    </row>
    <row r="5" spans="1:3" x14ac:dyDescent="0.3">
      <c r="A5" s="18" t="s">
        <v>497</v>
      </c>
      <c r="B5" s="22">
        <v>606708.88849999988</v>
      </c>
      <c r="C5" s="22">
        <v>44</v>
      </c>
    </row>
    <row r="6" spans="1:3" x14ac:dyDescent="0.3">
      <c r="A6" s="18" t="s">
        <v>487</v>
      </c>
      <c r="B6" s="22">
        <v>6177861.834999999</v>
      </c>
      <c r="C6" s="22">
        <v>618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B96A9-8771-48C1-99C0-B01C58976E46}">
  <dimension ref="A1:B14"/>
  <sheetViews>
    <sheetView workbookViewId="0"/>
  </sheetViews>
  <sheetFormatPr defaultRowHeight="14.4" x14ac:dyDescent="0.3"/>
  <cols>
    <col min="1" max="1" width="12.5546875" bestFit="1" customWidth="1"/>
    <col min="2" max="2" width="18.44140625" bestFit="1" customWidth="1"/>
  </cols>
  <sheetData>
    <row r="1" spans="1:2" x14ac:dyDescent="0.3">
      <c r="A1" s="17" t="s">
        <v>486</v>
      </c>
      <c r="B1" t="s">
        <v>488</v>
      </c>
    </row>
    <row r="2" spans="1:2" x14ac:dyDescent="0.3">
      <c r="A2" s="18" t="s">
        <v>499</v>
      </c>
      <c r="B2" s="22">
        <v>486875.02550000005</v>
      </c>
    </row>
    <row r="3" spans="1:2" x14ac:dyDescent="0.3">
      <c r="A3" s="18" t="s">
        <v>500</v>
      </c>
      <c r="B3" s="22">
        <v>938.28949999999986</v>
      </c>
    </row>
    <row r="4" spans="1:2" x14ac:dyDescent="0.3">
      <c r="A4" s="18" t="s">
        <v>501</v>
      </c>
      <c r="B4" s="22">
        <v>888742.4105</v>
      </c>
    </row>
    <row r="5" spans="1:2" x14ac:dyDescent="0.3">
      <c r="A5" s="18" t="s">
        <v>502</v>
      </c>
      <c r="B5" s="22">
        <v>947943.745</v>
      </c>
    </row>
    <row r="6" spans="1:2" x14ac:dyDescent="0.3">
      <c r="A6" s="18" t="s">
        <v>503</v>
      </c>
      <c r="B6" s="22">
        <v>1261347.8265</v>
      </c>
    </row>
    <row r="7" spans="1:2" x14ac:dyDescent="0.3">
      <c r="A7" s="18" t="s">
        <v>504</v>
      </c>
      <c r="B7" s="22">
        <v>168533.45300000001</v>
      </c>
    </row>
    <row r="8" spans="1:2" x14ac:dyDescent="0.3">
      <c r="A8" s="18" t="s">
        <v>505</v>
      </c>
      <c r="B8" s="22">
        <v>551711.86300000001</v>
      </c>
    </row>
    <row r="9" spans="1:2" x14ac:dyDescent="0.3">
      <c r="A9" s="18" t="s">
        <v>506</v>
      </c>
      <c r="B9" s="22">
        <v>986428.01900000009</v>
      </c>
    </row>
    <row r="10" spans="1:2" x14ac:dyDescent="0.3">
      <c r="A10" s="18" t="s">
        <v>507</v>
      </c>
      <c r="B10" s="22">
        <v>5425.866</v>
      </c>
    </row>
    <row r="11" spans="1:2" x14ac:dyDescent="0.3">
      <c r="A11" s="18" t="s">
        <v>508</v>
      </c>
      <c r="B11" s="22">
        <v>34150.840000000004</v>
      </c>
    </row>
    <row r="12" spans="1:2" x14ac:dyDescent="0.3">
      <c r="A12" s="18" t="s">
        <v>509</v>
      </c>
      <c r="B12" s="22">
        <v>715338.36450000003</v>
      </c>
    </row>
    <row r="13" spans="1:2" x14ac:dyDescent="0.3">
      <c r="A13" s="18" t="s">
        <v>510</v>
      </c>
      <c r="B13" s="22">
        <v>130426.13250000001</v>
      </c>
    </row>
    <row r="14" spans="1:2" x14ac:dyDescent="0.3">
      <c r="A14" s="18" t="s">
        <v>487</v>
      </c>
      <c r="B14" s="22">
        <v>6177861.8350000018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36ABF-2395-4CB7-A87C-C9DF4AAB6E08}">
  <dimension ref="A1:B7"/>
  <sheetViews>
    <sheetView workbookViewId="0"/>
  </sheetViews>
  <sheetFormatPr defaultRowHeight="14.4" x14ac:dyDescent="0.3"/>
  <cols>
    <col min="1" max="1" width="12.5546875" bestFit="1" customWidth="1"/>
    <col min="2" max="2" width="15.33203125" bestFit="1" customWidth="1"/>
  </cols>
  <sheetData>
    <row r="1" spans="1:2" x14ac:dyDescent="0.3">
      <c r="A1" s="17" t="s">
        <v>486</v>
      </c>
      <c r="B1" t="s">
        <v>489</v>
      </c>
    </row>
    <row r="2" spans="1:2" x14ac:dyDescent="0.3">
      <c r="A2" s="18" t="s">
        <v>34</v>
      </c>
      <c r="B2" s="3">
        <v>17.821363636363635</v>
      </c>
    </row>
    <row r="3" spans="1:2" x14ac:dyDescent="0.3">
      <c r="A3" s="18" t="s">
        <v>66</v>
      </c>
      <c r="B3" s="3">
        <v>8.0326666666666675</v>
      </c>
    </row>
    <row r="4" spans="1:2" x14ac:dyDescent="0.3">
      <c r="A4" s="18" t="s">
        <v>47</v>
      </c>
      <c r="B4" s="3">
        <v>16.387500000000003</v>
      </c>
    </row>
    <row r="5" spans="1:2" x14ac:dyDescent="0.3">
      <c r="A5" s="18" t="s">
        <v>91</v>
      </c>
      <c r="B5" s="3">
        <v>21.234210526315792</v>
      </c>
    </row>
    <row r="6" spans="1:2" x14ac:dyDescent="0.3">
      <c r="A6" s="18" t="s">
        <v>74</v>
      </c>
      <c r="B6" s="3">
        <v>18.557916666666671</v>
      </c>
    </row>
    <row r="7" spans="1:2" x14ac:dyDescent="0.3">
      <c r="A7" s="18" t="s">
        <v>487</v>
      </c>
      <c r="B7" s="3">
        <v>16.891499999999994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Cleaned_Data</vt:lpstr>
      <vt:lpstr>KPI</vt:lpstr>
      <vt:lpstr>Slicers</vt:lpstr>
      <vt:lpstr>Dashboard</vt:lpstr>
      <vt:lpstr>Map Analysis</vt:lpstr>
      <vt:lpstr>Payment Performance</vt:lpstr>
      <vt:lpstr>Regional Category</vt:lpstr>
      <vt:lpstr>Segment &amp; Priority Matrix</vt:lpstr>
      <vt:lpstr>Monthly Net Revenue Trend</vt:lpstr>
      <vt:lpstr>Sales by Category</vt:lpstr>
      <vt:lpstr>Average Profit by 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vedanti kingri</cp:lastModifiedBy>
  <dcterms:created xsi:type="dcterms:W3CDTF">2026-08-22T07:02:55Z</dcterms:created>
  <dcterms:modified xsi:type="dcterms:W3CDTF">2026-08-22T12:29:10Z</dcterms:modified>
</cp:coreProperties>
</file>